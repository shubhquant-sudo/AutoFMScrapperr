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UBH\3D Objects\Financial Model Template\Templete\projectnemesis\Output\AAPL\20261026_Final\"/>
    </mc:Choice>
  </mc:AlternateContent>
  <xr:revisionPtr revIDLastSave="0" documentId="13_ncr:1_{AD812A42-6C10-4C88-97D3-464C45CC84D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ssumptions" sheetId="1" r:id="rId1"/>
    <sheet name="Statements" sheetId="2" r:id="rId2"/>
    <sheet name="DCF" sheetId="3" r:id="rId3"/>
    <sheet name="History" sheetId="4" r:id="rId4"/>
    <sheet name="Raw statements" sheetId="5" r:id="rId5"/>
  </sheets>
  <definedNames>
    <definedName name="_xlnm.Print_Titles" localSheetId="0">Assumptions!$1:$7</definedName>
    <definedName name="_xlnm.Print_Titles" localSheetId="2">DCF!$1:$7</definedName>
    <definedName name="_xlnm.Print_Titles" localSheetId="3">History!$1:$7</definedName>
    <definedName name="_xlnm.Print_Titles" localSheetId="4">'Raw statements'!$1:$7</definedName>
    <definedName name="_xlnm.Print_Titles" localSheetId="1">Statements!$1:$7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3" l="1"/>
  <c r="D39" i="3"/>
  <c r="D36" i="3"/>
  <c r="D35" i="3"/>
  <c r="H18" i="3"/>
  <c r="G18" i="3"/>
  <c r="F18" i="3"/>
  <c r="E18" i="3"/>
  <c r="D18" i="3"/>
  <c r="F134" i="2"/>
  <c r="E134" i="2"/>
  <c r="D134" i="2"/>
  <c r="F131" i="2"/>
  <c r="D20" i="1" s="1"/>
  <c r="E131" i="2"/>
  <c r="D131" i="2"/>
  <c r="F130" i="2"/>
  <c r="D19" i="1" s="1"/>
  <c r="E130" i="2"/>
  <c r="D130" i="2"/>
  <c r="F129" i="2"/>
  <c r="E129" i="2"/>
  <c r="D129" i="2"/>
  <c r="L88" i="2"/>
  <c r="K88" i="2"/>
  <c r="J88" i="2"/>
  <c r="I88" i="2"/>
  <c r="H88" i="2"/>
  <c r="F72" i="2"/>
  <c r="E72" i="2"/>
  <c r="D72" i="2"/>
  <c r="F69" i="2"/>
  <c r="E69" i="2"/>
  <c r="D69" i="2"/>
  <c r="F67" i="2"/>
  <c r="E67" i="2"/>
  <c r="D67" i="2"/>
  <c r="F66" i="2"/>
  <c r="E66" i="2"/>
  <c r="D66" i="2"/>
  <c r="F65" i="2"/>
  <c r="E65" i="2"/>
  <c r="D65" i="2"/>
  <c r="F63" i="2"/>
  <c r="F127" i="2" s="1"/>
  <c r="D16" i="1" s="1"/>
  <c r="E63" i="2"/>
  <c r="E127" i="2" s="1"/>
  <c r="D63" i="2"/>
  <c r="D127" i="2" s="1"/>
  <c r="F62" i="2"/>
  <c r="E62" i="2"/>
  <c r="D62" i="2"/>
  <c r="F42" i="2"/>
  <c r="E42" i="2"/>
  <c r="D42" i="2"/>
  <c r="F41" i="2"/>
  <c r="F43" i="2" s="1"/>
  <c r="E41" i="2"/>
  <c r="E43" i="2" s="1"/>
  <c r="D41" i="2"/>
  <c r="D43" i="2" s="1"/>
  <c r="F39" i="2"/>
  <c r="D34" i="3" s="1"/>
  <c r="E39" i="2"/>
  <c r="D39" i="2"/>
  <c r="F38" i="2"/>
  <c r="E38" i="2"/>
  <c r="E126" i="2" s="1"/>
  <c r="D38" i="2"/>
  <c r="D126" i="2" s="1"/>
  <c r="F36" i="2"/>
  <c r="F107" i="2" s="1"/>
  <c r="E36" i="2"/>
  <c r="E107" i="2" s="1"/>
  <c r="D36" i="2"/>
  <c r="F34" i="2"/>
  <c r="E34" i="2"/>
  <c r="D34" i="2"/>
  <c r="F33" i="2"/>
  <c r="E33" i="2"/>
  <c r="E125" i="2" s="1"/>
  <c r="D33" i="2"/>
  <c r="D125" i="2" s="1"/>
  <c r="F32" i="2"/>
  <c r="E32" i="2"/>
  <c r="D32" i="2"/>
  <c r="F31" i="2"/>
  <c r="E31" i="2"/>
  <c r="E110" i="2" s="1"/>
  <c r="D31" i="2"/>
  <c r="D110" i="2" s="1"/>
  <c r="F19" i="2"/>
  <c r="F58" i="2" s="1"/>
  <c r="E19" i="2"/>
  <c r="E58" i="2" s="1"/>
  <c r="D19" i="2"/>
  <c r="D58" i="2" s="1"/>
  <c r="F18" i="2"/>
  <c r="F123" i="2" s="1"/>
  <c r="D12" i="1" s="1"/>
  <c r="E18" i="2"/>
  <c r="D18" i="2"/>
  <c r="F17" i="2"/>
  <c r="E17" i="2"/>
  <c r="D17" i="2"/>
  <c r="F15" i="2"/>
  <c r="F16" i="2" s="1"/>
  <c r="E15" i="2"/>
  <c r="E16" i="2" s="1"/>
  <c r="D15" i="2"/>
  <c r="D16" i="2" s="1"/>
  <c r="F14" i="2"/>
  <c r="F128" i="2" s="1"/>
  <c r="D17" i="1" s="1"/>
  <c r="E14" i="2"/>
  <c r="E128" i="2" s="1"/>
  <c r="D14" i="2"/>
  <c r="D128" i="2" s="1"/>
  <c r="F13" i="2"/>
  <c r="F122" i="2" s="1"/>
  <c r="D11" i="1" s="1"/>
  <c r="E13" i="2"/>
  <c r="E122" i="2" s="1"/>
  <c r="D13" i="2"/>
  <c r="D122" i="2" s="1"/>
  <c r="F10" i="2"/>
  <c r="E10" i="2"/>
  <c r="D10" i="2"/>
  <c r="F9" i="2"/>
  <c r="E9" i="2"/>
  <c r="E11" i="2" s="1"/>
  <c r="D9" i="2"/>
  <c r="D11" i="2" s="1"/>
  <c r="J25" i="1"/>
  <c r="I25" i="1"/>
  <c r="H25" i="1"/>
  <c r="G25" i="1"/>
  <c r="F25" i="1"/>
  <c r="D23" i="1"/>
  <c r="D18" i="1"/>
  <c r="F64" i="2" l="1"/>
  <c r="F35" i="2"/>
  <c r="D86" i="2"/>
  <c r="D61" i="2" s="1"/>
  <c r="D64" i="2"/>
  <c r="F86" i="2"/>
  <c r="F61" i="2" s="1"/>
  <c r="E68" i="2"/>
  <c r="D108" i="2"/>
  <c r="E108" i="2"/>
  <c r="F125" i="2"/>
  <c r="D14" i="1" s="1"/>
  <c r="F68" i="2"/>
  <c r="E86" i="2"/>
  <c r="E61" i="2" s="1"/>
  <c r="F133" i="2"/>
  <c r="D22" i="1" s="1"/>
  <c r="D132" i="2"/>
  <c r="F126" i="2"/>
  <c r="D15" i="1" s="1"/>
  <c r="D123" i="2"/>
  <c r="E132" i="2"/>
  <c r="E123" i="2"/>
  <c r="F132" i="2"/>
  <c r="D21" i="1" s="1"/>
  <c r="E64" i="2"/>
  <c r="D68" i="2"/>
  <c r="D12" i="2"/>
  <c r="D121" i="2"/>
  <c r="E121" i="2"/>
  <c r="E12" i="2"/>
  <c r="D107" i="2"/>
  <c r="F11" i="2"/>
  <c r="F59" i="2"/>
  <c r="F60" i="2" s="1"/>
  <c r="F73" i="2"/>
  <c r="F71" i="2" s="1"/>
  <c r="F70" i="2" s="1"/>
  <c r="F109" i="2" s="1"/>
  <c r="F108" i="2"/>
  <c r="F110" i="2"/>
  <c r="E124" i="2"/>
  <c r="D124" i="2"/>
  <c r="F124" i="2"/>
  <c r="D13" i="1" s="1"/>
  <c r="D35" i="2"/>
  <c r="D40" i="2"/>
  <c r="D120" i="2"/>
  <c r="E35" i="2"/>
  <c r="E40" i="2"/>
  <c r="E120" i="2"/>
  <c r="D33" i="3"/>
  <c r="F120" i="2"/>
  <c r="D9" i="1" s="1"/>
  <c r="F40" i="2"/>
  <c r="H89" i="2" s="1"/>
  <c r="D133" i="2"/>
  <c r="D59" i="2"/>
  <c r="D60" i="2" s="1"/>
  <c r="D73" i="2"/>
  <c r="D71" i="2" s="1"/>
  <c r="D70" i="2" s="1"/>
  <c r="D109" i="2" s="1"/>
  <c r="E133" i="2"/>
  <c r="E59" i="2"/>
  <c r="E60" i="2" s="1"/>
  <c r="E73" i="2"/>
  <c r="E71" i="2" s="1"/>
  <c r="E70" i="2" s="1"/>
  <c r="E109" i="2" s="1"/>
  <c r="H86" i="2" l="1"/>
  <c r="H71" i="2"/>
  <c r="H11" i="2"/>
  <c r="H61" i="2"/>
  <c r="D14" i="3" s="1"/>
  <c r="H9" i="2"/>
  <c r="H83" i="2"/>
  <c r="H59" i="2"/>
  <c r="H15" i="2"/>
  <c r="D9" i="3" s="1"/>
  <c r="H34" i="2"/>
  <c r="H72" i="2"/>
  <c r="H70" i="2"/>
  <c r="H68" i="2"/>
  <c r="H66" i="2"/>
  <c r="H64" i="2"/>
  <c r="H62" i="2"/>
  <c r="H60" i="2"/>
  <c r="H58" i="2"/>
  <c r="H42" i="2"/>
  <c r="H40" i="2"/>
  <c r="H38" i="2"/>
  <c r="H35" i="2"/>
  <c r="H33" i="2"/>
  <c r="H31" i="2"/>
  <c r="H110" i="2" s="1"/>
  <c r="H18" i="2"/>
  <c r="H16" i="2"/>
  <c r="H14" i="2"/>
  <c r="D12" i="3" s="1"/>
  <c r="H12" i="2"/>
  <c r="H10" i="2"/>
  <c r="H39" i="2"/>
  <c r="H73" i="2"/>
  <c r="H19" i="2"/>
  <c r="H82" i="2"/>
  <c r="H69" i="2"/>
  <c r="H85" i="2"/>
  <c r="H36" i="2"/>
  <c r="H65" i="2"/>
  <c r="H43" i="2"/>
  <c r="H32" i="2"/>
  <c r="H13" i="2"/>
  <c r="H87" i="2"/>
  <c r="H90" i="2"/>
  <c r="H67" i="2"/>
  <c r="H63" i="2"/>
  <c r="D13" i="3" s="1"/>
  <c r="H41" i="2"/>
  <c r="H17" i="2"/>
  <c r="H84" i="2"/>
  <c r="F12" i="2"/>
  <c r="F121" i="2"/>
  <c r="D10" i="1" s="1"/>
  <c r="H108" i="2" l="1"/>
  <c r="D10" i="3"/>
  <c r="D11" i="3" s="1"/>
  <c r="D15" i="3" s="1"/>
  <c r="D19" i="3" s="1"/>
  <c r="H109" i="2"/>
  <c r="I89" i="2"/>
  <c r="H107" i="2"/>
  <c r="I86" i="2" l="1"/>
  <c r="I83" i="2"/>
  <c r="I84" i="2"/>
  <c r="I72" i="2"/>
  <c r="I70" i="2"/>
  <c r="I68" i="2"/>
  <c r="I66" i="2"/>
  <c r="I64" i="2"/>
  <c r="I62" i="2"/>
  <c r="I60" i="2"/>
  <c r="I58" i="2"/>
  <c r="I42" i="2"/>
  <c r="I40" i="2"/>
  <c r="I38" i="2"/>
  <c r="I35" i="2"/>
  <c r="I33" i="2"/>
  <c r="I31" i="2"/>
  <c r="I110" i="2" s="1"/>
  <c r="I18" i="2"/>
  <c r="I16" i="2"/>
  <c r="I14" i="2"/>
  <c r="E12" i="3" s="1"/>
  <c r="I12" i="2"/>
  <c r="I10" i="2"/>
  <c r="I82" i="2"/>
  <c r="I85" i="2"/>
  <c r="I63" i="2"/>
  <c r="E13" i="3" s="1"/>
  <c r="I34" i="2"/>
  <c r="I13" i="2"/>
  <c r="I90" i="2"/>
  <c r="I71" i="2"/>
  <c r="I67" i="2"/>
  <c r="I61" i="2"/>
  <c r="E14" i="3" s="1"/>
  <c r="I43" i="2"/>
  <c r="I39" i="2"/>
  <c r="I32" i="2"/>
  <c r="I17" i="2"/>
  <c r="I11" i="2"/>
  <c r="I87" i="2"/>
  <c r="I73" i="2"/>
  <c r="I69" i="2"/>
  <c r="I65" i="2"/>
  <c r="I59" i="2"/>
  <c r="I41" i="2"/>
  <c r="I36" i="2"/>
  <c r="I19" i="2"/>
  <c r="I15" i="2"/>
  <c r="E9" i="3" s="1"/>
  <c r="I9" i="2"/>
  <c r="J89" i="2" s="1"/>
  <c r="J86" i="2" l="1"/>
  <c r="J83" i="2"/>
  <c r="J72" i="2"/>
  <c r="J70" i="2"/>
  <c r="J68" i="2"/>
  <c r="J66" i="2"/>
  <c r="J64" i="2"/>
  <c r="J62" i="2"/>
  <c r="J60" i="2"/>
  <c r="J58" i="2"/>
  <c r="J42" i="2"/>
  <c r="J40" i="2"/>
  <c r="J38" i="2"/>
  <c r="J35" i="2"/>
  <c r="J33" i="2"/>
  <c r="J31" i="2"/>
  <c r="J110" i="2" s="1"/>
  <c r="J18" i="2"/>
  <c r="J16" i="2"/>
  <c r="J14" i="2"/>
  <c r="F12" i="3" s="1"/>
  <c r="J12" i="2"/>
  <c r="J10" i="2"/>
  <c r="J82" i="2"/>
  <c r="J85" i="2"/>
  <c r="J87" i="2"/>
  <c r="J84" i="2"/>
  <c r="J90" i="2"/>
  <c r="J73" i="2"/>
  <c r="J71" i="2"/>
  <c r="J69" i="2"/>
  <c r="J67" i="2"/>
  <c r="J65" i="2"/>
  <c r="J63" i="2"/>
  <c r="F13" i="3" s="1"/>
  <c r="J61" i="2"/>
  <c r="F14" i="3" s="1"/>
  <c r="J59" i="2"/>
  <c r="J43" i="2"/>
  <c r="J41" i="2"/>
  <c r="J39" i="2"/>
  <c r="J36" i="2"/>
  <c r="J34" i="2"/>
  <c r="J32" i="2"/>
  <c r="J19" i="2"/>
  <c r="J17" i="2"/>
  <c r="J15" i="2"/>
  <c r="F9" i="3" s="1"/>
  <c r="J13" i="2"/>
  <c r="J11" i="2"/>
  <c r="J9" i="2"/>
  <c r="E10" i="3"/>
  <c r="E11" i="3" s="1"/>
  <c r="E15" i="3" s="1"/>
  <c r="E19" i="3" s="1"/>
  <c r="I107" i="2"/>
  <c r="I109" i="2"/>
  <c r="I108" i="2"/>
  <c r="K89" i="2" l="1"/>
  <c r="J108" i="2"/>
  <c r="F10" i="3"/>
  <c r="F11" i="3"/>
  <c r="F15" i="3" s="1"/>
  <c r="F19" i="3" s="1"/>
  <c r="J107" i="2"/>
  <c r="K83" i="2"/>
  <c r="K72" i="2"/>
  <c r="K70" i="2"/>
  <c r="K68" i="2"/>
  <c r="K66" i="2"/>
  <c r="K64" i="2"/>
  <c r="K62" i="2"/>
  <c r="K60" i="2"/>
  <c r="K58" i="2"/>
  <c r="K42" i="2"/>
  <c r="K40" i="2"/>
  <c r="K38" i="2"/>
  <c r="K35" i="2"/>
  <c r="K33" i="2"/>
  <c r="K31" i="2"/>
  <c r="K110" i="2" s="1"/>
  <c r="K18" i="2"/>
  <c r="K16" i="2"/>
  <c r="K14" i="2"/>
  <c r="G12" i="3" s="1"/>
  <c r="K12" i="2"/>
  <c r="K10" i="2"/>
  <c r="K82" i="2"/>
  <c r="K85" i="2"/>
  <c r="K87" i="2"/>
  <c r="K90" i="2"/>
  <c r="K73" i="2"/>
  <c r="K71" i="2"/>
  <c r="K69" i="2"/>
  <c r="K67" i="2"/>
  <c r="K65" i="2"/>
  <c r="K63" i="2"/>
  <c r="G13" i="3" s="1"/>
  <c r="K61" i="2"/>
  <c r="G14" i="3" s="1"/>
  <c r="K59" i="2"/>
  <c r="K43" i="2"/>
  <c r="K41" i="2"/>
  <c r="K39" i="2"/>
  <c r="K36" i="2"/>
  <c r="K107" i="2" s="1"/>
  <c r="K34" i="2"/>
  <c r="K32" i="2"/>
  <c r="K19" i="2"/>
  <c r="K17" i="2"/>
  <c r="K108" i="2" s="1"/>
  <c r="K15" i="2"/>
  <c r="G9" i="3" s="1"/>
  <c r="K13" i="2"/>
  <c r="K11" i="2"/>
  <c r="K9" i="2"/>
  <c r="K84" i="2"/>
  <c r="K86" i="2"/>
  <c r="J109" i="2"/>
  <c r="L89" i="2" l="1"/>
  <c r="G10" i="3"/>
  <c r="G11" i="3"/>
  <c r="G15" i="3" s="1"/>
  <c r="G19" i="3" s="1"/>
  <c r="L83" i="2"/>
  <c r="L72" i="2"/>
  <c r="L70" i="2"/>
  <c r="L68" i="2"/>
  <c r="L66" i="2"/>
  <c r="L64" i="2"/>
  <c r="L62" i="2"/>
  <c r="L60" i="2"/>
  <c r="L58" i="2"/>
  <c r="L42" i="2"/>
  <c r="L40" i="2"/>
  <c r="L38" i="2"/>
  <c r="L35" i="2"/>
  <c r="L33" i="2"/>
  <c r="L31" i="2"/>
  <c r="L110" i="2" s="1"/>
  <c r="L18" i="2"/>
  <c r="L16" i="2"/>
  <c r="L14" i="2"/>
  <c r="H12" i="3" s="1"/>
  <c r="L12" i="2"/>
  <c r="L10" i="2"/>
  <c r="L86" i="2"/>
  <c r="L82" i="2"/>
  <c r="L85" i="2"/>
  <c r="L87" i="2"/>
  <c r="L90" i="2"/>
  <c r="L73" i="2"/>
  <c r="L71" i="2"/>
  <c r="L69" i="2"/>
  <c r="L67" i="2"/>
  <c r="L65" i="2"/>
  <c r="L63" i="2"/>
  <c r="H13" i="3" s="1"/>
  <c r="L61" i="2"/>
  <c r="H14" i="3" s="1"/>
  <c r="L59" i="2"/>
  <c r="L43" i="2"/>
  <c r="L41" i="2"/>
  <c r="L39" i="2"/>
  <c r="L36" i="2"/>
  <c r="L107" i="2" s="1"/>
  <c r="L34" i="2"/>
  <c r="L32" i="2"/>
  <c r="L19" i="2"/>
  <c r="L17" i="2"/>
  <c r="L108" i="2" s="1"/>
  <c r="L15" i="2"/>
  <c r="H9" i="3" s="1"/>
  <c r="L13" i="2"/>
  <c r="L11" i="2"/>
  <c r="L9" i="2"/>
  <c r="L84" i="2"/>
  <c r="K109" i="2"/>
  <c r="H10" i="3" l="1"/>
  <c r="H11" i="3" s="1"/>
  <c r="H15" i="3" s="1"/>
  <c r="L109" i="2"/>
  <c r="D23" i="3" l="1"/>
  <c r="D24" i="3" s="1"/>
  <c r="D25" i="3" s="1"/>
  <c r="D30" i="3" s="1"/>
  <c r="H19" i="3"/>
  <c r="D29" i="3" s="1"/>
  <c r="D31" i="3" l="1"/>
  <c r="D37" i="3" s="1"/>
  <c r="D40" i="3" s="1"/>
  <c r="D43" i="3" l="1"/>
  <c r="D6" i="3"/>
</calcChain>
</file>

<file path=xl/sharedStrings.xml><?xml version="1.0" encoding="utf-8"?>
<sst xmlns="http://schemas.openxmlformats.org/spreadsheetml/2006/main" count="553" uniqueCount="403">
  <si>
    <t>Apple Inc. — Assumptions</t>
  </si>
  <si>
    <t>USD millions. Latest source period: 2025-09-30.</t>
  </si>
  <si>
    <t>Start with History and check the latest actual figures. Then fill the yellow forecast cells below. Enter 0 when you intend none. A blank means missing, so the affected forecast stays blank.</t>
  </si>
  <si>
    <t>Forecast driver</t>
  </si>
  <si>
    <t>Last actual</t>
  </si>
  <si>
    <t>What to enter</t>
  </si>
  <si>
    <t>Revenue growth</t>
  </si>
  <si>
    <t>Enter the annual change in sales. For 5%, type 5%.</t>
  </si>
  <si>
    <t>Gross profit margin</t>
  </si>
  <si>
    <t>Gross profit divided by sales. This sets cost of sales.</t>
  </si>
  <si>
    <t>EBITDA margin</t>
  </si>
  <si>
    <t>Profit before depreciation, interest and tax, divided by sales. Must not exceed gross margin.</t>
  </si>
  <si>
    <t>Tax rate on positive profit</t>
  </si>
  <si>
    <t>Tax as a share of positive profit. Losses receive no automatic tax credit.</t>
  </si>
  <si>
    <t>Customer payment days</t>
  </si>
  <si>
    <t>Average days before customers pay. Receivables = sales / 365 × days.</t>
  </si>
  <si>
    <t>Inventory holding days</t>
  </si>
  <si>
    <t>Inventory = cost of sales / 365 × days. Enter 0 if the business holds none.</t>
  </si>
  <si>
    <t>Supplier payment days</t>
  </si>
  <si>
    <t>Payables = cost of sales / 365 × days. Enter 0 if not used.</t>
  </si>
  <si>
    <t>Capital spending / revenue</t>
  </si>
  <si>
    <t>Cash spent on fixed assets, divided by sales. Enter 0 for no spending.</t>
  </si>
  <si>
    <t>Depreciation / opening fixed assets</t>
  </si>
  <si>
    <t>Rate applied to opening net fixed assets. New spending starts depreciating next year.</t>
  </si>
  <si>
    <t>Interest rate on opening debt</t>
  </si>
  <si>
    <t>Annual financing rate. Interest uses opening debt, avoiding a circular formula.</t>
  </si>
  <si>
    <t>Debt repayment / opening debt</t>
  </si>
  <si>
    <t>Share of opening debt repaid during the year. Enter 0 for no repayment.</t>
  </si>
  <si>
    <t>New borrowing</t>
  </si>
  <si>
    <t>Amount of new debt, in the workbook currency units. Enter 0 if none.</t>
  </si>
  <si>
    <t>Dividend payout / positive profit</t>
  </si>
  <si>
    <t>Share of positive net profit paid as dividends. Enter 0 to retain all profit.</t>
  </si>
  <si>
    <t>Other income (excluding debt interest)</t>
  </si>
  <si>
    <t>Net non-operating income or costs. Exclude the debt interest already modeled above. Enter 0 if none.</t>
  </si>
  <si>
    <t>Shares issued / (repurchased)</t>
  </si>
  <si>
    <t>Cash from new shares is positive; buybacks are negative. Enter 0 if none. Review the DCF share count separately.</t>
  </si>
  <si>
    <t>Unfilled forecast inputs</t>
  </si>
  <si>
    <t>DCF inputs. Enter these once, after the forecast.</t>
  </si>
  <si>
    <t>Discount rate (WACC)</t>
  </si>
  <si>
    <t>Required return for debt and equity together. Must be positive.</t>
  </si>
  <si>
    <t>Long-run cash flow growth</t>
  </si>
  <si>
    <t>Growth after year five. Must be greater than -100% and below WACC.</t>
  </si>
  <si>
    <t>Shares outstanding (millions)</t>
  </si>
  <si>
    <t>Enter your current fully diluted share count in millions. History shows the reported count.</t>
  </si>
  <si>
    <t>Other claims to deduct</t>
  </si>
  <si>
    <t>Claims on value other than the debt already shown. Include minority interests if relevant; enter 0 if none.</t>
  </si>
  <si>
    <t>Other non-operating assets to add</t>
  </si>
  <si>
    <t>Eligible assets not counted in cash or operating value. Do not add goodwill; enter 0 if none.</t>
  </si>
  <si>
    <t>Current share price (optional)</t>
  </si>
  <si>
    <t>Optional current price in USD per share. Leave blank if you do not need upside/downside.</t>
  </si>
  <si>
    <t>To keep assumptions the same each year, fill F9:F23, select F9:J23 and press Ctrl+R. Then adjust individual years if needed. The last-actual column is a reference, not a suggested forecast.</t>
  </si>
  <si>
    <t>How the basic forecast works: other assets and other liabilities stay at their latest actual amounts. Debt and fixed assets roll forward. There are no acquisitions, disposals, stock compensation or new tax-loss schedules. Negative cash remains visible; borrowing is never added automatically to make the model balance.</t>
  </si>
  <si>
    <t>Apple Inc. — Statements</t>
  </si>
  <si>
    <t>Read down each statement. Black numbers calculate within this sheet; green numbers link to another sheet. Forecasts appear one year at a time after the inputs and opening figures are complete. Review checks are at the bottom.</t>
  </si>
  <si>
    <t>Financial year</t>
  </si>
  <si>
    <t>Income statement</t>
  </si>
  <si>
    <t>Revenue</t>
  </si>
  <si>
    <t>Previous sales × (1 + revenue growth).</t>
  </si>
  <si>
    <t>Cost of sales</t>
  </si>
  <si>
    <t>Gross profit</t>
  </si>
  <si>
    <t>Cash operating costs (derived)</t>
  </si>
  <si>
    <t>Gross profit less EBITDA. EBITDA itself is set by the margin input.</t>
  </si>
  <si>
    <t>EBITDA</t>
  </si>
  <si>
    <t>Depreciation and amortization</t>
  </si>
  <si>
    <t>Operating profit (EBIT)</t>
  </si>
  <si>
    <t>Net finance and other costs</t>
  </si>
  <si>
    <t>Actuals: EBIT less reported pre-tax profit. Forecast: interest on opening debt, less entered other income.</t>
  </si>
  <si>
    <t>Profit before tax</t>
  </si>
  <si>
    <t>Income tax</t>
  </si>
  <si>
    <t>Net profit</t>
  </si>
  <si>
    <t>Balance sheet</t>
  </si>
  <si>
    <t>Cash and cash equivalents</t>
  </si>
  <si>
    <t>Trade receivables</t>
  </si>
  <si>
    <t>Inventory</t>
  </si>
  <si>
    <t>Net fixed assets</t>
  </si>
  <si>
    <t>Other assets (derived)</t>
  </si>
  <si>
    <t>Total assets less cash, receivables, inventory and fixed assets. This remainder stays constant in the forecast.</t>
  </si>
  <si>
    <t>Total assets</t>
  </si>
  <si>
    <t>Trade payables</t>
  </si>
  <si>
    <t>Total debt</t>
  </si>
  <si>
    <t>Other liabilities (derived)</t>
  </si>
  <si>
    <t>Total liabilities less trade payables and debt. This remainder stays constant in the forecast.</t>
  </si>
  <si>
    <t>Total liabilities</t>
  </si>
  <si>
    <t>Total equity</t>
  </si>
  <si>
    <t>Previous equity + net profit - dividends + net cash from shares issued or repurchased.</t>
  </si>
  <si>
    <t>Liabilities and equity</t>
  </si>
  <si>
    <t>Cash flow statement</t>
  </si>
  <si>
    <t>Depreciation added back</t>
  </si>
  <si>
    <t>Other operating cash adjustments</t>
  </si>
  <si>
    <t>Actuals reconcile reported operating cash. No additional noncash adjustments are forecast.</t>
  </si>
  <si>
    <t>Increase in working capital</t>
  </si>
  <si>
    <t>Cash from operations</t>
  </si>
  <si>
    <t>Capital spending (outflow)</t>
  </si>
  <si>
    <t>Other investing cash flow</t>
  </si>
  <si>
    <t>Actuals: investing cash flow plus capital spending. No other investing cash flows are forecast.</t>
  </si>
  <si>
    <t>Cash from investing</t>
  </si>
  <si>
    <t>Net borrowing / (repayment)</t>
  </si>
  <si>
    <t>Actual debt cash movements are not inferred from changes in the balance sheet.</t>
  </si>
  <si>
    <t>Dividends paid (outflow)</t>
  </si>
  <si>
    <t>Share financing / other cash flows</t>
  </si>
  <si>
    <t>Actuals: financing cash flow, less net borrowing, plus dividends. Forecast: cash from share issues, less buybacks.</t>
  </si>
  <si>
    <t>Cash from financing</t>
  </si>
  <si>
    <t>Other cash movement (derived)</t>
  </si>
  <si>
    <t>Actuals reconcile cash balances with reported cash flows. No separate FX cash movement is forecast.</t>
  </si>
  <si>
    <t>Net change in cash</t>
  </si>
  <si>
    <t>Opening cash</t>
  </si>
  <si>
    <t>Closing cash</t>
  </si>
  <si>
    <t>Supporting calculations</t>
  </si>
  <si>
    <t>Opening fixed assets</t>
  </si>
  <si>
    <t>Capital spending</t>
  </si>
  <si>
    <t>Depreciation</t>
  </si>
  <si>
    <t>Closing fixed assets</t>
  </si>
  <si>
    <t>Operating working capital</t>
  </si>
  <si>
    <t>Receivables + inventory - trade payables.</t>
  </si>
  <si>
    <t>Opening debt</t>
  </si>
  <si>
    <t>Forecast inputs valid</t>
  </si>
  <si>
    <t>Opening figures ready</t>
  </si>
  <si>
    <t>Closing debt</t>
  </si>
  <si>
    <t>Review checks</t>
  </si>
  <si>
    <t>Balance sheet difference</t>
  </si>
  <si>
    <t>Zero means the balance sheet ties. Historical rounding tolerance is 0.5 in workbook units.</t>
  </si>
  <si>
    <t>Profit reconciliation difference</t>
  </si>
  <si>
    <t>Cash flow reconciliation difference</t>
  </si>
  <si>
    <t>Cash balance review</t>
  </si>
  <si>
    <t>Historical driver reference</t>
  </si>
  <si>
    <t>Apple Inc. — DCF</t>
  </si>
  <si>
    <t>USD millions. Shares in millions. Per-share values in USD. Latest source period: 2025-09-30.</t>
  </si>
  <si>
    <t>Finish the forecast first, then enter the DCF inputs on Assumptions. Cash flows are discounted at each year end. A missing value stays blank; it does not mean zero.</t>
  </si>
  <si>
    <t>Next step</t>
  </si>
  <si>
    <t>Tax on operating profit</t>
  </si>
  <si>
    <t>Operating profit after tax</t>
  </si>
  <si>
    <t>Free cash flow to the firm</t>
  </si>
  <si>
    <t>Year-end discount factor</t>
  </si>
  <si>
    <t>Present value of cash flow</t>
  </si>
  <si>
    <t>Value after year five</t>
  </si>
  <si>
    <t>Year-six cash flow</t>
  </si>
  <si>
    <t>Year-five cash flow × (1 + long-run growth). Check that future investment supports this growth.</t>
  </si>
  <si>
    <t>Terminal value at year five</t>
  </si>
  <si>
    <t>Year-six cash flow / (WACC - long-run growth). The growth rate must stay below WACC.</t>
  </si>
  <si>
    <t>Present value of terminal value</t>
  </si>
  <si>
    <t>From business value to value per share</t>
  </si>
  <si>
    <t>Present value of five-year cash flows</t>
  </si>
  <si>
    <t>Operating business value</t>
  </si>
  <si>
    <t>Cash to add</t>
  </si>
  <si>
    <t>Debt to deduct</t>
  </si>
  <si>
    <t>Equity value</t>
  </si>
  <si>
    <t>Operating value + cash - debt - other claims + eligible non-operating assets.</t>
  </si>
  <si>
    <t>Value per share</t>
  </si>
  <si>
    <t>Upside / downside (optional)</t>
  </si>
  <si>
    <t>A negative cash flow or valuation is shown as calculated. Review whether the business and terminal-year assumptions are appropriate. The tax model gives no immediate credit for operating losses; it does not project tax-loss carryforwards.</t>
  </si>
  <si>
    <t>Method reference: https://www.cfainstitute.org/insights/professional-learning/refresher-readings/2026/free-cash-flow-valuation</t>
  </si>
  <si>
    <t>Apple Inc. — History</t>
  </si>
  <si>
    <t>All available annual history is here. Green numbers came from the saved source. Yellow blanks are missing. Correct a figure here only after checking the original statements. Raw statements and downloaded files remain unchanged.</t>
  </si>
  <si>
    <t>Reported item</t>
  </si>
  <si>
    <t>Source field</t>
  </si>
  <si>
    <t>2022-09-30</t>
  </si>
  <si>
    <t>2023-09-30</t>
  </si>
  <si>
    <t>2024-09-30</t>
  </si>
  <si>
    <t>2025-09-30</t>
  </si>
  <si>
    <t>revenue</t>
  </si>
  <si>
    <t>cogs</t>
  </si>
  <si>
    <t>gross_profit</t>
  </si>
  <si>
    <t>EBITDA (provider definition)</t>
  </si>
  <si>
    <t>ebitda</t>
  </si>
  <si>
    <t>Depreciation &amp; amortization</t>
  </si>
  <si>
    <t>da</t>
  </si>
  <si>
    <t>ebit</t>
  </si>
  <si>
    <t>Interest expense</t>
  </si>
  <si>
    <t>interest</t>
  </si>
  <si>
    <t>Other non-operating income</t>
  </si>
  <si>
    <t>other_income</t>
  </si>
  <si>
    <t>pbt</t>
  </si>
  <si>
    <t>Income tax expense</t>
  </si>
  <si>
    <t>tax</t>
  </si>
  <si>
    <t>Net profit (reported basis)</t>
  </si>
  <si>
    <t>net_profit</t>
  </si>
  <si>
    <t>Net profit attributable to parent</t>
  </si>
  <si>
    <t>parent_profit</t>
  </si>
  <si>
    <t>Cash &amp; cash equivalents</t>
  </si>
  <si>
    <t>cash</t>
  </si>
  <si>
    <t>receivables</t>
  </si>
  <si>
    <t>Inventories</t>
  </si>
  <si>
    <t>inventory</t>
  </si>
  <si>
    <t>Net property, plant &amp; equipment</t>
  </si>
  <si>
    <t>ppe</t>
  </si>
  <si>
    <t>assets</t>
  </si>
  <si>
    <t>payables</t>
  </si>
  <si>
    <t>Borrowings</t>
  </si>
  <si>
    <t>debt</t>
  </si>
  <si>
    <t>liabilities</t>
  </si>
  <si>
    <t>Total equity (reported basis)</t>
  </si>
  <si>
    <t>equity</t>
  </si>
  <si>
    <t>Parent equity</t>
  </si>
  <si>
    <t>parent_equity</t>
  </si>
  <si>
    <t>Minority equity</t>
  </si>
  <si>
    <t>minorities</t>
  </si>
  <si>
    <t>Retained earnings</t>
  </si>
  <si>
    <t>retained_earnings</t>
  </si>
  <si>
    <t>Cash from operating activities</t>
  </si>
  <si>
    <t>cfo</t>
  </si>
  <si>
    <t>Cash from investing activities</t>
  </si>
  <si>
    <t>cfi</t>
  </si>
  <si>
    <t>Cash from financing activities</t>
  </si>
  <si>
    <t>cff</t>
  </si>
  <si>
    <t>Cash purchases of PPE</t>
  </si>
  <si>
    <t>capex</t>
  </si>
  <si>
    <t>Cash dividends paid</t>
  </si>
  <si>
    <t>dividends</t>
  </si>
  <si>
    <t>FX effect on cash</t>
  </si>
  <si>
    <t>fx</t>
  </si>
  <si>
    <t>Reported change in cash</t>
  </si>
  <si>
    <t>cash_change</t>
  </si>
  <si>
    <t>Cash flow opening cash</t>
  </si>
  <si>
    <t>cash_begin</t>
  </si>
  <si>
    <t>Cash flow closing cash</t>
  </si>
  <si>
    <t>cash_end</t>
  </si>
  <si>
    <t>Net debt cash flow</t>
  </si>
  <si>
    <t>net_borrowing</t>
  </si>
  <si>
    <t>Cash debt issued</t>
  </si>
  <si>
    <t>debt_issued</t>
  </si>
  <si>
    <t>Cash debt repaid</t>
  </si>
  <si>
    <t>debt_repaid</t>
  </si>
  <si>
    <t>Net common shares issued / (repurchased)</t>
  </si>
  <si>
    <t>net_equity_cash_flow</t>
  </si>
  <si>
    <t>Ordinary shares outstanding (millions)</t>
  </si>
  <si>
    <t>shares</t>
  </si>
  <si>
    <t>Share capital</t>
  </si>
  <si>
    <t>share_capital</t>
  </si>
  <si>
    <t>Reserves</t>
  </si>
  <si>
    <t>reserves</t>
  </si>
  <si>
    <t>Other assets (source aggregate)</t>
  </si>
  <si>
    <t>other_assets</t>
  </si>
  <si>
    <t>Other liabilities (source aggregate)</t>
  </si>
  <si>
    <t>other_liabilities</t>
  </si>
  <si>
    <t>Capital work in progress</t>
  </si>
  <si>
    <t>cwip</t>
  </si>
  <si>
    <t>Investments</t>
  </si>
  <si>
    <t>investments</t>
  </si>
  <si>
    <t>Source: https://finance.yahoo.com/quote/AAPL/financials/. Retrieved 2026-10-26T14:27:04.199053+00:00. Reporting basis: Provider annual statements; consolidated/standalone basis not independently verified.</t>
  </si>
  <si>
    <t>Apple Inc. — Raw statements</t>
  </si>
  <si>
    <t>Original source units. Latest source period: 2025-09-30.</t>
  </si>
  <si>
    <t>Original provider values, before unit conversion or mapping. These may use currency units rather than the millions/crores in the model. The downloaded JSON or imported export is also saved with this workbook.</t>
  </si>
  <si>
    <t>Reported income statement</t>
  </si>
  <si>
    <t>Original provider field</t>
  </si>
  <si>
    <t>BasicAverageShares</t>
  </si>
  <si>
    <t>BasicEPS</t>
  </si>
  <si>
    <t>CostOfRevenue</t>
  </si>
  <si>
    <t>DilutedAverageShares</t>
  </si>
  <si>
    <t>DilutedEPS</t>
  </si>
  <si>
    <t>DilutedNIAvailtoComStockholders</t>
  </si>
  <si>
    <t>EBIT</t>
  </si>
  <si>
    <t>GrossProfit</t>
  </si>
  <si>
    <t>InterestExpense</t>
  </si>
  <si>
    <t>InterestExpenseNonOperating</t>
  </si>
  <si>
    <t>InterestIncome</t>
  </si>
  <si>
    <t>InterestIncomeNonOperating</t>
  </si>
  <si>
    <t>NetIncome</t>
  </si>
  <si>
    <t>NetIncomeCommonStockholders</t>
  </si>
  <si>
    <t>NetIncomeContinuousOperations</t>
  </si>
  <si>
    <t>NetIncomeFromContinuingAndDiscontinuedOperation</t>
  </si>
  <si>
    <t>NetIncomeFromContinuingOperationNetMinorityInterest</t>
  </si>
  <si>
    <t>NetIncomeIncludingNoncontrollingInterests</t>
  </si>
  <si>
    <t>NetInterestIncome</t>
  </si>
  <si>
    <t>NetNonOperatingInterestIncomeExpense</t>
  </si>
  <si>
    <t>NormalizedEBITDA</t>
  </si>
  <si>
    <t>NormalizedIncome</t>
  </si>
  <si>
    <t>OperatingExpense</t>
  </si>
  <si>
    <t>OperatingIncome</t>
  </si>
  <si>
    <t>OperatingRevenue</t>
  </si>
  <si>
    <t>OtherIncomeExpense</t>
  </si>
  <si>
    <t>OtherNonOperatingIncomeExpenses</t>
  </si>
  <si>
    <t>PretaxIncome</t>
  </si>
  <si>
    <t>ReconciledCostOfRevenue</t>
  </si>
  <si>
    <t>ReconciledDepreciation</t>
  </si>
  <si>
    <t>ResearchAndDevelopment</t>
  </si>
  <si>
    <t>SellingGeneralAndAdministration</t>
  </si>
  <si>
    <t>TaxEffectOfUnusualItems</t>
  </si>
  <si>
    <t>TaxProvision</t>
  </si>
  <si>
    <t>TaxRateForCalcs</t>
  </si>
  <si>
    <t>TotalExpenses</t>
  </si>
  <si>
    <t>TotalOperatingIncomeAsReported</t>
  </si>
  <si>
    <t>TotalRevenue</t>
  </si>
  <si>
    <t>Reported balance sheet</t>
  </si>
  <si>
    <t>AccountsPayable</t>
  </si>
  <si>
    <t>AccountsReceivable</t>
  </si>
  <si>
    <t>AccumulatedDepreciation</t>
  </si>
  <si>
    <t>AvailableForSaleSecurities</t>
  </si>
  <si>
    <t>CapitalLeaseObligations</t>
  </si>
  <si>
    <t>CapitalStock</t>
  </si>
  <si>
    <t>CashAndCashEquivalents</t>
  </si>
  <si>
    <t>CashCashEquivalentsAndShortTermInvestments</t>
  </si>
  <si>
    <t>CashEquivalents</t>
  </si>
  <si>
    <t>CashFinancial</t>
  </si>
  <si>
    <t>CommercialPaper</t>
  </si>
  <si>
    <t>CommonStock</t>
  </si>
  <si>
    <t>CommonStockEquity</t>
  </si>
  <si>
    <t>CurrentAccruedExpenses</t>
  </si>
  <si>
    <t>CurrentAssets</t>
  </si>
  <si>
    <t>CurrentCapitalLeaseObligation</t>
  </si>
  <si>
    <t>CurrentDebt</t>
  </si>
  <si>
    <t>CurrentDebtAndCapitalLeaseObligation</t>
  </si>
  <si>
    <t>CurrentDeferredLiabilities</t>
  </si>
  <si>
    <t>CurrentDeferredRevenue</t>
  </si>
  <si>
    <t>CurrentLiabilities</t>
  </si>
  <si>
    <t>GainsLossesNotAffectingRetainedEarnings</t>
  </si>
  <si>
    <t>GrossPPE</t>
  </si>
  <si>
    <t>IncomeTaxPayable</t>
  </si>
  <si>
    <t>InvestedCapital</t>
  </si>
  <si>
    <t>InvestmentinFinancialAssets</t>
  </si>
  <si>
    <t>InvestmentsAndAdvances</t>
  </si>
  <si>
    <t>LandAndImprovements</t>
  </si>
  <si>
    <t>Leases</t>
  </si>
  <si>
    <t>LongTermCapitalLeaseObligation</t>
  </si>
  <si>
    <t>LongTermDebt</t>
  </si>
  <si>
    <t>LongTermDebtAndCapitalLeaseObligation</t>
  </si>
  <si>
    <t>MachineryFurnitureEquipment</t>
  </si>
  <si>
    <t>NetDebt</t>
  </si>
  <si>
    <t>NetPPE</t>
  </si>
  <si>
    <t>NetTangibleAssets</t>
  </si>
  <si>
    <t>NonCurrentDeferredAssets</t>
  </si>
  <si>
    <t>NonCurrentDeferredTaxesAssets</t>
  </si>
  <si>
    <t>OrdinarySharesNumber</t>
  </si>
  <si>
    <t>OtherCurrentAssets</t>
  </si>
  <si>
    <t>OtherCurrentBorrowings</t>
  </si>
  <si>
    <t>OtherCurrentLiabilities</t>
  </si>
  <si>
    <t>OtherEquityAdjustments</t>
  </si>
  <si>
    <t>OtherInvestments</t>
  </si>
  <si>
    <t>OtherNonCurrentAssets</t>
  </si>
  <si>
    <t>OtherNonCurrentLiabilities</t>
  </si>
  <si>
    <t>OtherProperties</t>
  </si>
  <si>
    <t>OtherReceivables</t>
  </si>
  <si>
    <t>OtherShortTermInvestments</t>
  </si>
  <si>
    <t>Payables</t>
  </si>
  <si>
    <t>PayablesAndAccruedExpenses</t>
  </si>
  <si>
    <t>Properties</t>
  </si>
  <si>
    <t>Receivables</t>
  </si>
  <si>
    <t>RetainedEarnings</t>
  </si>
  <si>
    <t>ShareIssued</t>
  </si>
  <si>
    <t>StockholdersEquity</t>
  </si>
  <si>
    <t>TangibleBookValue</t>
  </si>
  <si>
    <t>TotalAssets</t>
  </si>
  <si>
    <t>TotalCapitalization</t>
  </si>
  <si>
    <t>TotalDebt</t>
  </si>
  <si>
    <t>TotalEquityGrossMinorityInterest</t>
  </si>
  <si>
    <t>TotalLiabilitiesNetMinorityInterest</t>
  </si>
  <si>
    <t>TotalNonCurrentAssets</t>
  </si>
  <si>
    <t>TotalNonCurrentLiabilitiesNetMinorityInterest</t>
  </si>
  <si>
    <t>TotalTaxPayable</t>
  </si>
  <si>
    <t>TradeandOtherPayablesNonCurrent</t>
  </si>
  <si>
    <t>TreasurySharesNumber</t>
  </si>
  <si>
    <t>WorkingCapital</t>
  </si>
  <si>
    <t>Reported cash flow</t>
  </si>
  <si>
    <t>BeginningCashPosition</t>
  </si>
  <si>
    <t>CapitalExpenditure</t>
  </si>
  <si>
    <t>CashDividendsPaid</t>
  </si>
  <si>
    <t>CashFlowFromContinuingFinancingActivities</t>
  </si>
  <si>
    <t>CashFlowFromContinuingInvestingActivities</t>
  </si>
  <si>
    <t>CashFlowFromContinuingOperatingActivities</t>
  </si>
  <si>
    <t>ChangeInAccountPayable</t>
  </si>
  <si>
    <t>ChangeInInventory</t>
  </si>
  <si>
    <t>ChangeInOtherCurrentAssets</t>
  </si>
  <si>
    <t>ChangeInOtherCurrentLiabilities</t>
  </si>
  <si>
    <t>ChangeInOtherWorkingCapital</t>
  </si>
  <si>
    <t>ChangeInPayable</t>
  </si>
  <si>
    <t>ChangeInPayablesAndAccruedExpense</t>
  </si>
  <si>
    <t>ChangeInReceivables</t>
  </si>
  <si>
    <t>ChangeInWorkingCapital</t>
  </si>
  <si>
    <t>ChangesInAccountReceivables</t>
  </si>
  <si>
    <t>ChangesInCash</t>
  </si>
  <si>
    <t>CommonStockDividendPaid</t>
  </si>
  <si>
    <t>CommonStockPayments</t>
  </si>
  <si>
    <t>DeferredIncomeTax</t>
  </si>
  <si>
    <t>DeferredTax</t>
  </si>
  <si>
    <t>DepreciationAmortizationDepletion</t>
  </si>
  <si>
    <t>DepreciationAndAmortization</t>
  </si>
  <si>
    <t>EndCashPosition</t>
  </si>
  <si>
    <t>FinancingCashFlow</t>
  </si>
  <si>
    <t>FreeCashFlow</t>
  </si>
  <si>
    <t>IncomeTaxPaidSupplementalData</t>
  </si>
  <si>
    <t>InterestPaidSupplementalData</t>
  </si>
  <si>
    <t>InvestingCashFlow</t>
  </si>
  <si>
    <t>IssuanceOfDebt</t>
  </si>
  <si>
    <t>LongTermDebtIssuance</t>
  </si>
  <si>
    <t>LongTermDebtPayments</t>
  </si>
  <si>
    <t>NetBusinessPurchaseAndSale</t>
  </si>
  <si>
    <t>NetCommonStockIssuance</t>
  </si>
  <si>
    <t>NetIncomeFromContinuingOperations</t>
  </si>
  <si>
    <t>NetInvestmentPurchaseAndSale</t>
  </si>
  <si>
    <t>NetIssuancePaymentsOfDebt</t>
  </si>
  <si>
    <t>NetLongTermDebtIssuance</t>
  </si>
  <si>
    <t>NetOtherFinancingCharges</t>
  </si>
  <si>
    <t>NetOtherInvestingChanges</t>
  </si>
  <si>
    <t>NetPPEPurchaseAndSale</t>
  </si>
  <si>
    <t>NetShortTermDebtIssuance</t>
  </si>
  <si>
    <t>OperatingCashFlow</t>
  </si>
  <si>
    <t>OtherNonCashItems</t>
  </si>
  <si>
    <t>PurchaseOfBusiness</t>
  </si>
  <si>
    <t>PurchaseOfInvestment</t>
  </si>
  <si>
    <t>PurchaseOfPPE</t>
  </si>
  <si>
    <t>RepaymentOfDebt</t>
  </si>
  <si>
    <t>RepurchaseOfCapitalStock</t>
  </si>
  <si>
    <t>SaleOfInvestment</t>
  </si>
  <si>
    <t>StockBasedCompensation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</si>
</sst>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&quot; forecast&quot;"/>
    <numFmt numFmtId="165" formatCode="0.0%;\(0.0%\);&quot;-&quot;"/>
    <numFmt numFmtId="166" formatCode="0.0"/>
    <numFmt numFmtId="167" formatCode="#,##0.0;\(#,##0.0\);&quot;-&quot;"/>
    <numFmt numFmtId="168" formatCode="#,##0.00;\(#,##0.00\);&quot;-&quot;"/>
    <numFmt numFmtId="169" formatCode="0&quot; actual&quot;"/>
    <numFmt numFmtId="170" formatCode="0.000\x"/>
    <numFmt numFmtId="171" formatCode="#,##0;\(#,##0\);&quot;-&quot;"/>
    <numFmt numFmtId="172" formatCode="#,##0.00####;\(#,##0.00####\);&quot;-&quot;"/>
  </numFmts>
  <fonts count="13">
    <font>
      <sz val="11"/>
      <name val="Carlito"/>
    </font>
    <font>
      <sz val="10"/>
      <color rgb="FF172D42"/>
      <name val="Arial"/>
    </font>
    <font>
      <b/>
      <sz val="10"/>
      <color rgb="FF264E58"/>
      <name val="Arial"/>
    </font>
    <font>
      <sz val="10"/>
      <color rgb="FF657680"/>
      <name val="Arial"/>
    </font>
    <font>
      <sz val="10"/>
      <color rgb="FF3271D2"/>
      <name val="Arial"/>
    </font>
    <font>
      <sz val="10"/>
      <color rgb="FF008000"/>
      <name val="Arial"/>
    </font>
    <font>
      <sz val="10"/>
      <color rgb="FF000000"/>
      <name val="Arial"/>
    </font>
    <font>
      <b/>
      <sz val="14"/>
      <color rgb="FF264E58"/>
      <name val="Arial"/>
    </font>
    <font>
      <i/>
      <sz val="9"/>
      <color rgb="FF657680"/>
      <name val="Arial"/>
    </font>
    <font>
      <b/>
      <sz val="10"/>
      <color rgb="FFFFFFFF"/>
      <name val="Arial"/>
    </font>
    <font>
      <b/>
      <sz val="10"/>
      <color rgb="FF172D42"/>
      <name val="Arial"/>
    </font>
    <font>
      <b/>
      <sz val="10"/>
      <color rgb="FF000000"/>
      <name val="Arial"/>
    </font>
    <font>
      <b/>
      <sz val="10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6EEF1"/>
      </patternFill>
    </fill>
    <fill>
      <patternFill patternType="solid">
        <fgColor rgb="FFFFF5D2"/>
      </patternFill>
    </fill>
    <fill>
      <patternFill patternType="solid">
        <fgColor rgb="FF264E58"/>
      </patternFill>
    </fill>
  </fills>
  <borders count="3">
    <border>
      <left/>
      <right/>
      <top/>
      <bottom/>
      <diagonal/>
    </border>
    <border>
      <left/>
      <right/>
      <top/>
      <bottom style="thin">
        <color rgb="FF264E58"/>
      </bottom>
      <diagonal/>
    </border>
    <border>
      <left/>
      <right/>
      <top style="thin">
        <color rgb="FF7896AF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5" fontId="4" fillId="3" borderId="0" xfId="0" applyNumberFormat="1" applyFont="1" applyFill="1" applyAlignment="1">
      <alignment horizontal="left" vertical="center"/>
    </xf>
    <xf numFmtId="165" fontId="5" fillId="0" borderId="0" xfId="0" applyNumberFormat="1" applyFont="1" applyAlignment="1">
      <alignment horizontal="right" vertical="center"/>
    </xf>
    <xf numFmtId="166" fontId="4" fillId="3" borderId="0" xfId="0" applyNumberFormat="1" applyFont="1" applyFill="1" applyAlignment="1">
      <alignment horizontal="left" vertical="center"/>
    </xf>
    <xf numFmtId="166" fontId="5" fillId="0" borderId="0" xfId="0" applyNumberFormat="1" applyFont="1" applyAlignment="1">
      <alignment horizontal="right" vertical="center"/>
    </xf>
    <xf numFmtId="167" fontId="4" fillId="3" borderId="0" xfId="0" applyNumberFormat="1" applyFont="1" applyFill="1" applyAlignment="1">
      <alignment horizontal="left" vertical="center"/>
    </xf>
    <xf numFmtId="167" fontId="5" fillId="0" borderId="0" xfId="0" applyNumberFormat="1" applyFont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168" fontId="4" fillId="3" borderId="0" xfId="0" applyNumberFormat="1" applyFont="1" applyFill="1" applyAlignment="1">
      <alignment horizontal="left" vertical="center"/>
    </xf>
    <xf numFmtId="169" fontId="2" fillId="2" borderId="0" xfId="0" applyNumberFormat="1" applyFont="1" applyFill="1" applyAlignment="1">
      <alignment horizontal="center" vertical="center" wrapText="1"/>
    </xf>
    <xf numFmtId="167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vertical="center"/>
    </xf>
    <xf numFmtId="167" fontId="11" fillId="0" borderId="2" xfId="0" applyNumberFormat="1" applyFont="1" applyBorder="1" applyAlignment="1">
      <alignment horizontal="right" vertical="center"/>
    </xf>
    <xf numFmtId="167" fontId="12" fillId="0" borderId="2" xfId="0" applyNumberFormat="1" applyFont="1" applyBorder="1" applyAlignment="1">
      <alignment horizontal="right" vertical="center"/>
    </xf>
    <xf numFmtId="170" fontId="5" fillId="0" borderId="0" xfId="0" applyNumberFormat="1" applyFont="1" applyAlignment="1">
      <alignment horizontal="right" vertical="center"/>
    </xf>
    <xf numFmtId="168" fontId="5" fillId="0" borderId="0" xfId="0" applyNumberFormat="1" applyFont="1" applyAlignment="1">
      <alignment horizontal="right" vertical="center"/>
    </xf>
    <xf numFmtId="168" fontId="11" fillId="0" borderId="2" xfId="0" applyNumberFormat="1" applyFont="1" applyBorder="1" applyAlignment="1">
      <alignment horizontal="right" vertical="center"/>
    </xf>
    <xf numFmtId="171" fontId="1" fillId="0" borderId="0" xfId="0" applyNumberFormat="1" applyFont="1" applyAlignment="1">
      <alignment horizontal="right" vertical="center"/>
    </xf>
    <xf numFmtId="17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9" fillId="4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bgColor rgb="FFF8D8D5"/>
        </patternFill>
      </fill>
    </dxf>
    <dxf>
      <fill>
        <patternFill patternType="solid">
          <bgColor rgb="FFF8D8D5"/>
        </patternFill>
      </fill>
    </dxf>
    <dxf>
      <fill>
        <patternFill patternType="solid">
          <bgColor rgb="FFF8D8D5"/>
        </patternFill>
      </fill>
    </dxf>
    <dxf>
      <fill>
        <patternFill patternType="solid">
          <bgColor rgb="FFFFF5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896AF"/>
    <pageSetUpPr fitToPage="1"/>
  </sheetPr>
  <dimension ref="A1:L47"/>
  <sheetViews>
    <sheetView showGridLines="0" tabSelected="1" zoomScale="85" zoomScaleNormal="85" workbookViewId="0">
      <pane ySplit="7" topLeftCell="A8" activePane="bottomLeft" state="frozen"/>
      <selection pane="bottomLeft" activeCell="F9" sqref="F9"/>
    </sheetView>
  </sheetViews>
  <sheetFormatPr defaultRowHeight="14.25"/>
  <cols>
    <col min="1" max="1" width="1.125" customWidth="1"/>
    <col min="2" max="2" width="38" customWidth="1"/>
    <col min="3" max="3" width="3" customWidth="1"/>
    <col min="4" max="4" width="13" customWidth="1"/>
    <col min="5" max="5" width="3" customWidth="1"/>
    <col min="6" max="10" width="13" customWidth="1"/>
    <col min="11" max="11" width="3" customWidth="1"/>
    <col min="12" max="12" width="52" customWidth="1"/>
  </cols>
  <sheetData>
    <row r="1" spans="1:12" ht="21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1"/>
      <c r="B2" s="30" t="s">
        <v>0</v>
      </c>
      <c r="C2" s="30"/>
      <c r="D2" s="30"/>
      <c r="E2" s="30"/>
      <c r="F2" s="30"/>
      <c r="G2" s="30"/>
      <c r="H2" s="30"/>
      <c r="I2" s="30"/>
      <c r="J2" s="30"/>
      <c r="K2" s="1"/>
      <c r="L2" s="1"/>
    </row>
    <row r="3" spans="1:12" ht="21.95" customHeight="1">
      <c r="A3" s="1"/>
      <c r="B3" s="31" t="s">
        <v>1</v>
      </c>
      <c r="C3" s="31"/>
      <c r="D3" s="31"/>
      <c r="E3" s="31"/>
      <c r="F3" s="31"/>
      <c r="G3" s="31"/>
      <c r="H3" s="31"/>
      <c r="I3" s="31"/>
      <c r="J3" s="31"/>
      <c r="K3" s="1"/>
      <c r="L3" s="1"/>
    </row>
    <row r="4" spans="1:12" ht="21.95" customHeight="1">
      <c r="A4" s="1"/>
      <c r="B4" s="33" t="s">
        <v>2</v>
      </c>
      <c r="C4" s="33"/>
      <c r="D4" s="33"/>
      <c r="E4" s="33"/>
      <c r="F4" s="33"/>
      <c r="G4" s="33"/>
      <c r="H4" s="33"/>
      <c r="I4" s="33"/>
      <c r="J4" s="33"/>
      <c r="K4" s="1"/>
      <c r="L4" s="1"/>
    </row>
    <row r="5" spans="1:12" ht="21.95" customHeight="1">
      <c r="A5" s="1"/>
      <c r="B5" s="33"/>
      <c r="C5" s="33"/>
      <c r="D5" s="33"/>
      <c r="E5" s="33"/>
      <c r="F5" s="33"/>
      <c r="G5" s="33"/>
      <c r="H5" s="33"/>
      <c r="I5" s="33"/>
      <c r="J5" s="33"/>
      <c r="K5" s="1"/>
      <c r="L5" s="1"/>
    </row>
    <row r="6" spans="1:12" ht="21.9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32.1" customHeight="1">
      <c r="A7" s="1"/>
      <c r="B7" s="3" t="s">
        <v>3</v>
      </c>
      <c r="C7" s="1"/>
      <c r="D7" s="3" t="s">
        <v>4</v>
      </c>
      <c r="E7" s="1"/>
      <c r="F7" s="4">
        <v>2026</v>
      </c>
      <c r="G7" s="4">
        <v>2027</v>
      </c>
      <c r="H7" s="4">
        <v>2028</v>
      </c>
      <c r="I7" s="4">
        <v>2029</v>
      </c>
      <c r="J7" s="4">
        <v>2030</v>
      </c>
      <c r="K7" s="1"/>
      <c r="L7" s="3" t="s">
        <v>5</v>
      </c>
    </row>
    <row r="8" spans="1:12" ht="21.9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32.1" customHeight="1">
      <c r="A9" s="1"/>
      <c r="B9" s="2" t="s">
        <v>6</v>
      </c>
      <c r="C9" s="1"/>
      <c r="D9" s="7">
        <f>IF(COUNT(Statements!F120)=1,IF(TRUE,Statements!F120,""),"")</f>
        <v>6.425511782832749E-2</v>
      </c>
      <c r="E9" s="1"/>
      <c r="F9" s="6"/>
      <c r="G9" s="6"/>
      <c r="H9" s="6"/>
      <c r="I9" s="6"/>
      <c r="J9" s="6"/>
      <c r="K9" s="1"/>
      <c r="L9" s="5" t="s">
        <v>7</v>
      </c>
    </row>
    <row r="10" spans="1:12" ht="32.1" customHeight="1">
      <c r="A10" s="1"/>
      <c r="B10" s="2" t="s">
        <v>8</v>
      </c>
      <c r="C10" s="1"/>
      <c r="D10" s="7">
        <f>IF(COUNT(Statements!F121)=1,IF(TRUE,Statements!F121,""),"")</f>
        <v>0.46905164107160452</v>
      </c>
      <c r="E10" s="1"/>
      <c r="F10" s="6"/>
      <c r="G10" s="6"/>
      <c r="H10" s="6"/>
      <c r="I10" s="6"/>
      <c r="J10" s="6"/>
      <c r="K10" s="1"/>
      <c r="L10" s="5" t="s">
        <v>9</v>
      </c>
    </row>
    <row r="11" spans="1:12" ht="32.1" customHeight="1">
      <c r="A11" s="1"/>
      <c r="B11" s="2" t="s">
        <v>10</v>
      </c>
      <c r="C11" s="1"/>
      <c r="D11" s="7">
        <f>IF(COUNT(Statements!F122)=1,IF(TRUE,Statements!F122,""),"")</f>
        <v>0.34781731108873731</v>
      </c>
      <c r="E11" s="1"/>
      <c r="F11" s="6"/>
      <c r="G11" s="6"/>
      <c r="H11" s="6"/>
      <c r="I11" s="6"/>
      <c r="J11" s="6"/>
      <c r="K11" s="1"/>
      <c r="L11" s="5" t="s">
        <v>11</v>
      </c>
    </row>
    <row r="12" spans="1:12" ht="32.1" customHeight="1">
      <c r="A12" s="1"/>
      <c r="B12" s="2" t="s">
        <v>12</v>
      </c>
      <c r="C12" s="1"/>
      <c r="D12" s="7">
        <f>IF(COUNT(Statements!F123)=1,IF(TRUE,Statements!F123,""),"")</f>
        <v>0.15610002335586043</v>
      </c>
      <c r="E12" s="1"/>
      <c r="F12" s="6"/>
      <c r="G12" s="6"/>
      <c r="H12" s="6"/>
      <c r="I12" s="6"/>
      <c r="J12" s="6"/>
      <c r="K12" s="1"/>
      <c r="L12" s="5" t="s">
        <v>13</v>
      </c>
    </row>
    <row r="13" spans="1:12" ht="32.1" customHeight="1">
      <c r="A13" s="1"/>
      <c r="B13" s="2" t="s">
        <v>14</v>
      </c>
      <c r="C13" s="1"/>
      <c r="D13" s="9">
        <f>IF(COUNT(Statements!F124)=1,IF(TRUE,Statements!F124,""),"")</f>
        <v>34.886990852098108</v>
      </c>
      <c r="E13" s="1"/>
      <c r="F13" s="8"/>
      <c r="G13" s="8"/>
      <c r="H13" s="8"/>
      <c r="I13" s="8"/>
      <c r="J13" s="8"/>
      <c r="K13" s="1"/>
      <c r="L13" s="5" t="s">
        <v>15</v>
      </c>
    </row>
    <row r="14" spans="1:12" ht="32.1" customHeight="1">
      <c r="A14" s="1"/>
      <c r="B14" s="2" t="s">
        <v>16</v>
      </c>
      <c r="C14" s="1"/>
      <c r="D14" s="9">
        <f>IF(COUNT(Statements!F125)=1,IF(TRUE,Statements!F125,""),"")</f>
        <v>9.4454652425778427</v>
      </c>
      <c r="E14" s="1"/>
      <c r="F14" s="8"/>
      <c r="G14" s="8"/>
      <c r="H14" s="8"/>
      <c r="I14" s="8"/>
      <c r="J14" s="8"/>
      <c r="K14" s="1"/>
      <c r="L14" s="5" t="s">
        <v>17</v>
      </c>
    </row>
    <row r="15" spans="1:12" ht="32.1" customHeight="1">
      <c r="A15" s="1"/>
      <c r="B15" s="2" t="s">
        <v>18</v>
      </c>
      <c r="C15" s="1"/>
      <c r="D15" s="9">
        <f>IF(COUNT(Statements!F126)=1,IF(TRUE,Statements!F126,""),"")</f>
        <v>115.40052498189718</v>
      </c>
      <c r="E15" s="1"/>
      <c r="F15" s="8"/>
      <c r="G15" s="8"/>
      <c r="H15" s="8"/>
      <c r="I15" s="8"/>
      <c r="J15" s="8"/>
      <c r="K15" s="1"/>
      <c r="L15" s="5" t="s">
        <v>19</v>
      </c>
    </row>
    <row r="16" spans="1:12" ht="32.1" customHeight="1">
      <c r="A16" s="1"/>
      <c r="B16" s="2" t="s">
        <v>20</v>
      </c>
      <c r="C16" s="1"/>
      <c r="D16" s="7">
        <f>IF(COUNT(Statements!F127)=1,IF(TRUE,Statements!F127,""),"")</f>
        <v>3.0553079216937677E-2</v>
      </c>
      <c r="E16" s="1"/>
      <c r="F16" s="6"/>
      <c r="G16" s="6"/>
      <c r="H16" s="6"/>
      <c r="I16" s="6"/>
      <c r="J16" s="6"/>
      <c r="K16" s="1"/>
      <c r="L16" s="5" t="s">
        <v>21</v>
      </c>
    </row>
    <row r="17" spans="1:12" ht="32.1" customHeight="1">
      <c r="A17" s="1"/>
      <c r="B17" s="2" t="s">
        <v>22</v>
      </c>
      <c r="C17" s="1"/>
      <c r="D17" s="7">
        <f>IF(COUNT(Statements!F128)=1,IF(TRUE,Statements!F128,""),"")</f>
        <v>0.2560858143607706</v>
      </c>
      <c r="E17" s="1"/>
      <c r="F17" s="6"/>
      <c r="G17" s="6"/>
      <c r="H17" s="6"/>
      <c r="I17" s="6"/>
      <c r="J17" s="6"/>
      <c r="K17" s="1"/>
      <c r="L17" s="5" t="s">
        <v>23</v>
      </c>
    </row>
    <row r="18" spans="1:12" ht="32.1" customHeight="1">
      <c r="A18" s="1"/>
      <c r="B18" s="2" t="s">
        <v>24</v>
      </c>
      <c r="C18" s="1"/>
      <c r="D18" s="7" t="str">
        <f>IF(COUNT(Statements!F129)=1,IF(TRUE,Statements!F129,""),"")</f>
        <v/>
      </c>
      <c r="E18" s="1"/>
      <c r="F18" s="6"/>
      <c r="G18" s="6"/>
      <c r="H18" s="6"/>
      <c r="I18" s="6"/>
      <c r="J18" s="6"/>
      <c r="K18" s="1"/>
      <c r="L18" s="5" t="s">
        <v>25</v>
      </c>
    </row>
    <row r="19" spans="1:12" ht="32.1" customHeight="1">
      <c r="A19" s="1"/>
      <c r="B19" s="2" t="s">
        <v>26</v>
      </c>
      <c r="C19" s="1"/>
      <c r="D19" s="7">
        <f>IF(COUNT(Statements!F130)=1,IF(TRUE,Statements!F130,""),"")</f>
        <v>0.10252370368286301</v>
      </c>
      <c r="E19" s="1"/>
      <c r="F19" s="6"/>
      <c r="G19" s="6"/>
      <c r="H19" s="6"/>
      <c r="I19" s="6"/>
      <c r="J19" s="6"/>
      <c r="K19" s="1"/>
      <c r="L19" s="5" t="s">
        <v>27</v>
      </c>
    </row>
    <row r="20" spans="1:12" ht="32.1" customHeight="1">
      <c r="A20" s="1"/>
      <c r="B20" s="2" t="s">
        <v>28</v>
      </c>
      <c r="C20" s="1"/>
      <c r="D20" s="11">
        <f>IF(COUNT(Statements!F131)=1,IF(TRUE,Statements!F131,""),"")</f>
        <v>4481</v>
      </c>
      <c r="E20" s="1"/>
      <c r="F20" s="10"/>
      <c r="G20" s="10"/>
      <c r="H20" s="10"/>
      <c r="I20" s="10"/>
      <c r="J20" s="10"/>
      <c r="K20" s="1"/>
      <c r="L20" s="5" t="s">
        <v>29</v>
      </c>
    </row>
    <row r="21" spans="1:12" ht="32.1" customHeight="1">
      <c r="A21" s="1"/>
      <c r="B21" s="2" t="s">
        <v>30</v>
      </c>
      <c r="C21" s="1"/>
      <c r="D21" s="7">
        <f>IF(COUNT(Statements!F132)=1,IF(TRUE,Statements!F132,""),"")</f>
        <v>0.13767520757075261</v>
      </c>
      <c r="E21" s="1"/>
      <c r="F21" s="6"/>
      <c r="G21" s="6"/>
      <c r="H21" s="6"/>
      <c r="I21" s="6"/>
      <c r="J21" s="6"/>
      <c r="K21" s="1"/>
      <c r="L21" s="5" t="s">
        <v>31</v>
      </c>
    </row>
    <row r="22" spans="1:12" ht="32.1" customHeight="1">
      <c r="A22" s="1"/>
      <c r="B22" s="2" t="s">
        <v>32</v>
      </c>
      <c r="C22" s="1"/>
      <c r="D22" s="11" t="str">
        <f>IF(COUNT(Statements!F133)=1,IF(TRUE,Statements!F133,""),"")</f>
        <v/>
      </c>
      <c r="E22" s="1"/>
      <c r="F22" s="10"/>
      <c r="G22" s="10"/>
      <c r="H22" s="10"/>
      <c r="I22" s="10"/>
      <c r="J22" s="10"/>
      <c r="K22" s="1"/>
      <c r="L22" s="5" t="s">
        <v>33</v>
      </c>
    </row>
    <row r="23" spans="1:12" ht="42" customHeight="1">
      <c r="A23" s="1"/>
      <c r="B23" s="2" t="s">
        <v>34</v>
      </c>
      <c r="C23" s="1"/>
      <c r="D23" s="11">
        <f>IF(COUNT(Statements!F134)=1,IF(TRUE,Statements!F134,""),"")</f>
        <v>-90711</v>
      </c>
      <c r="E23" s="1"/>
      <c r="F23" s="10"/>
      <c r="G23" s="10"/>
      <c r="H23" s="10"/>
      <c r="I23" s="10"/>
      <c r="J23" s="10"/>
      <c r="K23" s="1"/>
      <c r="L23" s="5" t="s">
        <v>35</v>
      </c>
    </row>
    <row r="24" spans="1:12" ht="21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1.95" customHeight="1">
      <c r="A25" s="1"/>
      <c r="B25" s="2" t="s">
        <v>36</v>
      </c>
      <c r="C25" s="1"/>
      <c r="D25" s="1"/>
      <c r="E25" s="1"/>
      <c r="F25" s="12">
        <f>15-COUNT(F9:F23)</f>
        <v>15</v>
      </c>
      <c r="G25" s="12">
        <f>15-COUNT(G9:G23)</f>
        <v>15</v>
      </c>
      <c r="H25" s="12">
        <f>15-COUNT(H9:H23)</f>
        <v>15</v>
      </c>
      <c r="I25" s="12">
        <f>15-COUNT(I9:I23)</f>
        <v>15</v>
      </c>
      <c r="J25" s="12">
        <f>15-COUNT(J9:J23)</f>
        <v>15</v>
      </c>
      <c r="K25" s="1"/>
      <c r="L25" s="1"/>
    </row>
    <row r="26" spans="1:12" ht="21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1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1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4.95" customHeight="1">
      <c r="A29" s="1"/>
      <c r="B29" s="32" t="s">
        <v>37</v>
      </c>
      <c r="C29" s="32" t="s">
        <v>37</v>
      </c>
      <c r="D29" s="32" t="s">
        <v>37</v>
      </c>
      <c r="E29" s="32" t="s">
        <v>37</v>
      </c>
      <c r="F29" s="32" t="s">
        <v>37</v>
      </c>
      <c r="G29" s="32" t="s">
        <v>37</v>
      </c>
      <c r="H29" s="32" t="s">
        <v>37</v>
      </c>
      <c r="I29" s="32" t="s">
        <v>37</v>
      </c>
      <c r="J29" s="32" t="s">
        <v>37</v>
      </c>
      <c r="K29" s="1"/>
      <c r="L29" s="1"/>
    </row>
    <row r="30" spans="1:12" ht="21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32.1" customHeight="1">
      <c r="A31" s="1"/>
      <c r="B31" s="2" t="s">
        <v>38</v>
      </c>
      <c r="C31" s="1"/>
      <c r="D31" s="1"/>
      <c r="E31" s="1"/>
      <c r="F31" s="6"/>
      <c r="G31" s="1"/>
      <c r="H31" s="1"/>
      <c r="I31" s="1"/>
      <c r="J31" s="1"/>
      <c r="K31" s="1"/>
      <c r="L31" s="5" t="s">
        <v>39</v>
      </c>
    </row>
    <row r="32" spans="1:12" ht="32.1" customHeight="1">
      <c r="A32" s="1"/>
      <c r="B32" s="2" t="s">
        <v>40</v>
      </c>
      <c r="C32" s="1"/>
      <c r="D32" s="1"/>
      <c r="E32" s="1"/>
      <c r="F32" s="6"/>
      <c r="G32" s="1"/>
      <c r="H32" s="1"/>
      <c r="I32" s="1"/>
      <c r="J32" s="1"/>
      <c r="K32" s="1"/>
      <c r="L32" s="5" t="s">
        <v>41</v>
      </c>
    </row>
    <row r="33" spans="1:12" ht="32.1" customHeight="1">
      <c r="A33" s="1"/>
      <c r="B33" s="2" t="s">
        <v>42</v>
      </c>
      <c r="C33" s="1"/>
      <c r="D33" s="1"/>
      <c r="E33" s="1"/>
      <c r="F33" s="10"/>
      <c r="G33" s="1"/>
      <c r="H33" s="1"/>
      <c r="I33" s="1"/>
      <c r="J33" s="1"/>
      <c r="K33" s="1"/>
      <c r="L33" s="5" t="s">
        <v>43</v>
      </c>
    </row>
    <row r="34" spans="1:12" ht="42" customHeight="1">
      <c r="A34" s="1"/>
      <c r="B34" s="2" t="s">
        <v>44</v>
      </c>
      <c r="C34" s="1"/>
      <c r="D34" s="1"/>
      <c r="E34" s="1"/>
      <c r="F34" s="10"/>
      <c r="G34" s="1"/>
      <c r="H34" s="1"/>
      <c r="I34" s="1"/>
      <c r="J34" s="1"/>
      <c r="K34" s="1"/>
      <c r="L34" s="5" t="s">
        <v>45</v>
      </c>
    </row>
    <row r="35" spans="1:12" ht="32.1" customHeight="1">
      <c r="A35" s="1"/>
      <c r="B35" s="2" t="s">
        <v>46</v>
      </c>
      <c r="C35" s="1"/>
      <c r="D35" s="1"/>
      <c r="E35" s="1"/>
      <c r="F35" s="10"/>
      <c r="G35" s="1"/>
      <c r="H35" s="1"/>
      <c r="I35" s="1"/>
      <c r="J35" s="1"/>
      <c r="K35" s="1"/>
      <c r="L35" s="5" t="s">
        <v>47</v>
      </c>
    </row>
    <row r="36" spans="1:12" ht="32.1" customHeight="1">
      <c r="A36" s="1"/>
      <c r="B36" s="2" t="s">
        <v>48</v>
      </c>
      <c r="C36" s="1"/>
      <c r="D36" s="1"/>
      <c r="E36" s="1"/>
      <c r="F36" s="13"/>
      <c r="G36" s="1"/>
      <c r="H36" s="1"/>
      <c r="I36" s="1"/>
      <c r="J36" s="1"/>
      <c r="K36" s="1"/>
      <c r="L36" s="5" t="s">
        <v>49</v>
      </c>
    </row>
    <row r="37" spans="1:12" ht="21.9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21.9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21.95" customHeight="1">
      <c r="A39" s="1"/>
      <c r="B39" s="33" t="s">
        <v>50</v>
      </c>
      <c r="C39" s="33"/>
      <c r="D39" s="33"/>
      <c r="E39" s="33"/>
      <c r="F39" s="33"/>
      <c r="G39" s="33"/>
      <c r="H39" s="33"/>
      <c r="I39" s="33"/>
      <c r="J39" s="33"/>
      <c r="K39" s="1"/>
      <c r="L39" s="1"/>
    </row>
    <row r="40" spans="1:12" ht="21.95" customHeight="1">
      <c r="A40" s="1"/>
      <c r="B40" s="33"/>
      <c r="C40" s="33"/>
      <c r="D40" s="33"/>
      <c r="E40" s="33"/>
      <c r="F40" s="33"/>
      <c r="G40" s="33"/>
      <c r="H40" s="33"/>
      <c r="I40" s="33"/>
      <c r="J40" s="33"/>
      <c r="K40" s="1"/>
      <c r="L40" s="1"/>
    </row>
    <row r="41" spans="1:12" ht="21.9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21.9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27" customHeight="1">
      <c r="A43" s="1"/>
      <c r="B43" s="33" t="s">
        <v>51</v>
      </c>
      <c r="C43" s="33"/>
      <c r="D43" s="33"/>
      <c r="E43" s="33"/>
      <c r="F43" s="33"/>
      <c r="G43" s="33"/>
      <c r="H43" s="33"/>
      <c r="I43" s="33"/>
      <c r="J43" s="33"/>
      <c r="K43" s="1"/>
      <c r="L43" s="1"/>
    </row>
    <row r="44" spans="1:12" ht="27" customHeight="1">
      <c r="A44" s="1"/>
      <c r="B44" s="33"/>
      <c r="C44" s="33"/>
      <c r="D44" s="33"/>
      <c r="E44" s="33"/>
      <c r="F44" s="33"/>
      <c r="G44" s="33"/>
      <c r="H44" s="33"/>
      <c r="I44" s="33"/>
      <c r="J44" s="33"/>
      <c r="K44" s="1"/>
      <c r="L44" s="1"/>
    </row>
    <row r="45" spans="1:12" ht="21.9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21.9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21.9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</sheetData>
  <mergeCells count="6">
    <mergeCell ref="B43:J44"/>
    <mergeCell ref="B2:J2"/>
    <mergeCell ref="B3:J3"/>
    <mergeCell ref="B29:J29"/>
    <mergeCell ref="B4:J5"/>
    <mergeCell ref="B39:J40"/>
  </mergeCells>
  <conditionalFormatting sqref="F25:J25">
    <cfRule type="cellIs" dxfId="3" priority="1" operator="greaterThan">
      <formula>0</formula>
    </cfRule>
  </conditionalFormatting>
  <dataValidations count="5">
    <dataValidation type="decimal" operator="greaterThan" sqref="F32 F9:J9" xr:uid="{00000000-0002-0000-0000-000000000000}">
      <formula1>-1</formula1>
    </dataValidation>
    <dataValidation type="decimal" operator="lessThanOrEqual" sqref="F10:J10" xr:uid="{00000000-0002-0000-0000-000005000000}">
      <formula1>1</formula1>
    </dataValidation>
    <dataValidation type="decimal" sqref="F21:J21 F19:J19 F17:J17 F12:J12" xr:uid="{00000000-0002-0000-0000-00000A000000}">
      <formula1>0</formula1>
      <formula2>1</formula2>
    </dataValidation>
    <dataValidation type="decimal" operator="greaterThanOrEqual" sqref="F34:F35 F20:J20 F18:J18 F13:J16" xr:uid="{00000000-0002-0000-0000-00000F000000}">
      <formula1>0</formula1>
    </dataValidation>
    <dataValidation type="decimal" operator="greaterThan" sqref="F31 F36 F33" xr:uid="{00000000-0002-0000-0000-00003C000000}">
      <formula1>0</formula1>
    </dataValidation>
  </dataValidations>
  <pageMargins left="0.7" right="0.7" top="0.75" bottom="0.75" header="0.3" footer="0.3"/>
  <pageSetup scale="6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64E58"/>
    <pageSetUpPr fitToPage="1"/>
  </sheetPr>
  <dimension ref="A1:N138"/>
  <sheetViews>
    <sheetView showGridLines="0" zoomScale="85" zoomScaleNormal="85" workbookViewId="0">
      <pane ySplit="7" topLeftCell="A8" activePane="bottomLeft" state="frozen"/>
      <selection pane="bottomLeft"/>
    </sheetView>
  </sheetViews>
  <sheetFormatPr defaultRowHeight="14.25"/>
  <cols>
    <col min="1" max="1" width="1.125" customWidth="1"/>
    <col min="2" max="2" width="43" customWidth="1"/>
    <col min="3" max="3" width="3" customWidth="1"/>
    <col min="4" max="6" width="15" customWidth="1"/>
    <col min="7" max="7" width="3" customWidth="1"/>
    <col min="8" max="12" width="15" customWidth="1"/>
    <col min="13" max="13" width="3" customWidth="1"/>
    <col min="14" max="14" width="70" customWidth="1"/>
  </cols>
  <sheetData>
    <row r="1" spans="1:14" ht="21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0" customHeight="1">
      <c r="A2" s="1"/>
      <c r="B2" s="30" t="s">
        <v>52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1"/>
      <c r="N2" s="1"/>
    </row>
    <row r="3" spans="1:14" ht="21.95" customHeight="1">
      <c r="A3" s="1"/>
      <c r="B3" s="31" t="s">
        <v>1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1"/>
      <c r="N3" s="1"/>
    </row>
    <row r="4" spans="1:14" ht="27" customHeight="1">
      <c r="A4" s="1"/>
      <c r="B4" s="33" t="s">
        <v>53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1"/>
      <c r="N4" s="1"/>
    </row>
    <row r="5" spans="1:14" ht="27" customHeight="1">
      <c r="A5" s="1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1"/>
      <c r="N5" s="1"/>
    </row>
    <row r="6" spans="1:14" ht="21.9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32.1" customHeight="1">
      <c r="A7" s="1"/>
      <c r="B7" s="3" t="s">
        <v>54</v>
      </c>
      <c r="C7" s="1"/>
      <c r="D7" s="14">
        <v>2023</v>
      </c>
      <c r="E7" s="14">
        <v>2024</v>
      </c>
      <c r="F7" s="14">
        <v>2025</v>
      </c>
      <c r="G7" s="1"/>
      <c r="H7" s="4">
        <v>2026</v>
      </c>
      <c r="I7" s="4">
        <v>2027</v>
      </c>
      <c r="J7" s="4">
        <v>2028</v>
      </c>
      <c r="K7" s="4">
        <v>2029</v>
      </c>
      <c r="L7" s="4">
        <v>2030</v>
      </c>
      <c r="M7" s="1"/>
      <c r="N7" s="1"/>
    </row>
    <row r="8" spans="1:14" ht="24.95" customHeight="1">
      <c r="A8" s="1"/>
      <c r="B8" s="32" t="s">
        <v>55</v>
      </c>
      <c r="C8" s="32" t="s">
        <v>55</v>
      </c>
      <c r="D8" s="32" t="s">
        <v>55</v>
      </c>
      <c r="E8" s="32" t="s">
        <v>55</v>
      </c>
      <c r="F8" s="32" t="s">
        <v>55</v>
      </c>
      <c r="G8" s="32" t="s">
        <v>55</v>
      </c>
      <c r="H8" s="32" t="s">
        <v>55</v>
      </c>
      <c r="I8" s="32" t="s">
        <v>55</v>
      </c>
      <c r="J8" s="32" t="s">
        <v>55</v>
      </c>
      <c r="K8" s="32" t="s">
        <v>55</v>
      </c>
      <c r="L8" s="32" t="s">
        <v>55</v>
      </c>
      <c r="M8" s="1"/>
      <c r="N8" s="1"/>
    </row>
    <row r="9" spans="1:14" ht="32.1" customHeight="1">
      <c r="A9" s="1"/>
      <c r="B9" s="2" t="s">
        <v>56</v>
      </c>
      <c r="C9" s="1"/>
      <c r="D9" s="11">
        <f>IF(COUNT(History!E9)=1,IF(TRUE,History!E9,""),"")</f>
        <v>383285</v>
      </c>
      <c r="E9" s="11">
        <f>IF(COUNT(History!F9)=1,IF(TRUE,History!F9,""),"")</f>
        <v>391035</v>
      </c>
      <c r="F9" s="11">
        <f>IF(COUNT(History!G9)=1,IF(TRUE,History!G9,""),"")</f>
        <v>416161</v>
      </c>
      <c r="G9" s="1"/>
      <c r="H9" s="11" t="str">
        <f>IF(Statements!H89,Statements!F9*(1+Assumptions!F9),"")</f>
        <v/>
      </c>
      <c r="I9" s="11" t="str">
        <f>IF(Statements!I89,Statements!H9*(1+Assumptions!G9),"")</f>
        <v/>
      </c>
      <c r="J9" s="11" t="str">
        <f>IF(Statements!J89,Statements!I9*(1+Assumptions!H9),"")</f>
        <v/>
      </c>
      <c r="K9" s="11" t="str">
        <f>IF(Statements!K89,Statements!J9*(1+Assumptions!I9),"")</f>
        <v/>
      </c>
      <c r="L9" s="11" t="str">
        <f>IF(Statements!L89,Statements!K9*(1+Assumptions!J9),"")</f>
        <v/>
      </c>
      <c r="M9" s="1"/>
      <c r="N9" s="5" t="s">
        <v>57</v>
      </c>
    </row>
    <row r="10" spans="1:14" ht="21.95" customHeight="1">
      <c r="A10" s="1"/>
      <c r="B10" s="2" t="s">
        <v>58</v>
      </c>
      <c r="C10" s="1"/>
      <c r="D10" s="11">
        <f>IF(COUNT(History!E10)=1,IF(TRUE,History!E10,""),"")</f>
        <v>214137</v>
      </c>
      <c r="E10" s="11">
        <f>IF(COUNT(History!F10)=1,IF(TRUE,History!F10,""),"")</f>
        <v>210352</v>
      </c>
      <c r="F10" s="11">
        <f>IF(COUNT(History!G10)=1,IF(TRUE,History!G10,""),"")</f>
        <v>220960</v>
      </c>
      <c r="G10" s="1"/>
      <c r="H10" s="11" t="str">
        <f>IF(Statements!H89,Statements!H9*(1-Assumptions!F10),"")</f>
        <v/>
      </c>
      <c r="I10" s="11" t="str">
        <f>IF(Statements!I89,Statements!I9*(1-Assumptions!G10),"")</f>
        <v/>
      </c>
      <c r="J10" s="11" t="str">
        <f>IF(Statements!J89,Statements!J9*(1-Assumptions!H10),"")</f>
        <v/>
      </c>
      <c r="K10" s="11" t="str">
        <f>IF(Statements!K89,Statements!K9*(1-Assumptions!I10),"")</f>
        <v/>
      </c>
      <c r="L10" s="11" t="str">
        <f>IF(Statements!L89,Statements!L9*(1-Assumptions!J10),"")</f>
        <v/>
      </c>
      <c r="M10" s="1"/>
      <c r="N10" s="1"/>
    </row>
    <row r="11" spans="1:14" ht="21.95" customHeight="1">
      <c r="A11" s="1"/>
      <c r="B11" s="20" t="s">
        <v>59</v>
      </c>
      <c r="C11" s="21"/>
      <c r="D11" s="22">
        <f>IF(COUNT(Statements!D9,Statements!D10)=2,IF(TRUE,Statements!D9-Statements!D10,""),"")</f>
        <v>169148</v>
      </c>
      <c r="E11" s="22">
        <f>IF(COUNT(Statements!E9,Statements!E10)=2,IF(TRUE,Statements!E9-Statements!E10,""),"")</f>
        <v>180683</v>
      </c>
      <c r="F11" s="22">
        <f>IF(COUNT(Statements!F9,Statements!F10)=2,IF(TRUE,Statements!F9-Statements!F10,""),"")</f>
        <v>195201</v>
      </c>
      <c r="G11" s="21"/>
      <c r="H11" s="22" t="str">
        <f>IF(Statements!H89,Statements!H9-Statements!H10,"")</f>
        <v/>
      </c>
      <c r="I11" s="22" t="str">
        <f>IF(Statements!I89,Statements!I9-Statements!I10,"")</f>
        <v/>
      </c>
      <c r="J11" s="22" t="str">
        <f>IF(Statements!J89,Statements!J9-Statements!J10,"")</f>
        <v/>
      </c>
      <c r="K11" s="22" t="str">
        <f>IF(Statements!K89,Statements!K9-Statements!K10,"")</f>
        <v/>
      </c>
      <c r="L11" s="22" t="str">
        <f>IF(Statements!L89,Statements!L9-Statements!L10,"")</f>
        <v/>
      </c>
      <c r="M11" s="1"/>
      <c r="N11" s="1"/>
    </row>
    <row r="12" spans="1:14" ht="32.1" customHeight="1">
      <c r="A12" s="1"/>
      <c r="B12" s="2" t="s">
        <v>60</v>
      </c>
      <c r="C12" s="1"/>
      <c r="D12" s="15">
        <f>IF(COUNT(Statements!D11,Statements!D13)=2,IF(TRUE,Statements!D11-Statements!D13,""),"")</f>
        <v>43328</v>
      </c>
      <c r="E12" s="15">
        <f>IF(COUNT(Statements!E11,Statements!E13)=2,IF(TRUE,Statements!E11-Statements!E13,""),"")</f>
        <v>46022</v>
      </c>
      <c r="F12" s="15">
        <f>IF(COUNT(Statements!F11,Statements!F13)=2,IF(TRUE,Statements!F11-Statements!F13,""),"")</f>
        <v>50453</v>
      </c>
      <c r="G12" s="1"/>
      <c r="H12" s="15" t="str">
        <f>IF(Statements!H89,Statements!H11-Statements!H13,"")</f>
        <v/>
      </c>
      <c r="I12" s="15" t="str">
        <f>IF(Statements!I89,Statements!I11-Statements!I13,"")</f>
        <v/>
      </c>
      <c r="J12" s="15" t="str">
        <f>IF(Statements!J89,Statements!J11-Statements!J13,"")</f>
        <v/>
      </c>
      <c r="K12" s="15" t="str">
        <f>IF(Statements!K89,Statements!K11-Statements!K13,"")</f>
        <v/>
      </c>
      <c r="L12" s="15" t="str">
        <f>IF(Statements!L89,Statements!L11-Statements!L13,"")</f>
        <v/>
      </c>
      <c r="M12" s="1"/>
      <c r="N12" s="5" t="s">
        <v>61</v>
      </c>
    </row>
    <row r="13" spans="1:14" ht="21.95" customHeight="1">
      <c r="A13" s="1"/>
      <c r="B13" s="20" t="s">
        <v>62</v>
      </c>
      <c r="C13" s="21"/>
      <c r="D13" s="22">
        <f>IF(COUNT(Statements!D15,Statements!D14)=2,IF(TRUE,Statements!D15+Statements!D14,""),"")</f>
        <v>125820</v>
      </c>
      <c r="E13" s="22">
        <f>IF(COUNT(Statements!E15,Statements!E14)=2,IF(TRUE,Statements!E15+Statements!E14,""),"")</f>
        <v>134661</v>
      </c>
      <c r="F13" s="22">
        <f>IF(COUNT(Statements!F15,Statements!F14)=2,IF(TRUE,Statements!F15+Statements!F14,""),"")</f>
        <v>144748</v>
      </c>
      <c r="G13" s="21"/>
      <c r="H13" s="23" t="str">
        <f>IF(Statements!H89,Statements!H9*Assumptions!F11,"")</f>
        <v/>
      </c>
      <c r="I13" s="23" t="str">
        <f>IF(Statements!I89,Statements!I9*Assumptions!G11,"")</f>
        <v/>
      </c>
      <c r="J13" s="23" t="str">
        <f>IF(Statements!J89,Statements!J9*Assumptions!H11,"")</f>
        <v/>
      </c>
      <c r="K13" s="23" t="str">
        <f>IF(Statements!K89,Statements!K9*Assumptions!I11,"")</f>
        <v/>
      </c>
      <c r="L13" s="23" t="str">
        <f>IF(Statements!L89,Statements!L9*Assumptions!J11,"")</f>
        <v/>
      </c>
      <c r="M13" s="1"/>
      <c r="N13" s="1"/>
    </row>
    <row r="14" spans="1:14" ht="21.95" customHeight="1">
      <c r="A14" s="1"/>
      <c r="B14" s="2" t="s">
        <v>63</v>
      </c>
      <c r="C14" s="1"/>
      <c r="D14" s="11">
        <f>IF(COUNT(History!E13)=1,IF(TRUE,History!E13,""),"")</f>
        <v>11519</v>
      </c>
      <c r="E14" s="11">
        <f>IF(COUNT(History!F13)=1,IF(TRUE,History!F13,""),"")</f>
        <v>11445</v>
      </c>
      <c r="F14" s="11">
        <f>IF(COUNT(History!G13)=1,IF(TRUE,History!G13,""),"")</f>
        <v>11698</v>
      </c>
      <c r="G14" s="1"/>
      <c r="H14" s="11" t="str">
        <f>IF(Statements!H89,Statements!F34*Assumptions!F17,"")</f>
        <v/>
      </c>
      <c r="I14" s="11" t="str">
        <f>IF(Statements!I89,Statements!H34*Assumptions!G17,"")</f>
        <v/>
      </c>
      <c r="J14" s="11" t="str">
        <f>IF(Statements!J89,Statements!I34*Assumptions!H17,"")</f>
        <v/>
      </c>
      <c r="K14" s="11" t="str">
        <f>IF(Statements!K89,Statements!J34*Assumptions!I17,"")</f>
        <v/>
      </c>
      <c r="L14" s="11" t="str">
        <f>IF(Statements!L89,Statements!K34*Assumptions!J17,"")</f>
        <v/>
      </c>
      <c r="M14" s="1"/>
      <c r="N14" s="1"/>
    </row>
    <row r="15" spans="1:14" ht="21.95" customHeight="1">
      <c r="A15" s="1"/>
      <c r="B15" s="20" t="s">
        <v>64</v>
      </c>
      <c r="C15" s="21"/>
      <c r="D15" s="23">
        <f>IF(ISNUMBER(History!E14),History!E14,IF(COUNT(History!E12,History!E13)=2,History!E12-History!E13,""))</f>
        <v>114301</v>
      </c>
      <c r="E15" s="23">
        <f>IF(ISNUMBER(History!F14),History!F14,IF(COUNT(History!F12,History!F13)=2,History!F12-History!F13,""))</f>
        <v>123216</v>
      </c>
      <c r="F15" s="23">
        <f>IF(ISNUMBER(History!G14),History!G14,IF(COUNT(History!G12,History!G13)=2,History!G12-History!G13,""))</f>
        <v>133050</v>
      </c>
      <c r="G15" s="21"/>
      <c r="H15" s="22" t="str">
        <f>IF(Statements!H89,Statements!H13-Statements!H14,"")</f>
        <v/>
      </c>
      <c r="I15" s="22" t="str">
        <f>IF(Statements!I89,Statements!I13-Statements!I14,"")</f>
        <v/>
      </c>
      <c r="J15" s="22" t="str">
        <f>IF(Statements!J89,Statements!J13-Statements!J14,"")</f>
        <v/>
      </c>
      <c r="K15" s="22" t="str">
        <f>IF(Statements!K89,Statements!K13-Statements!K14,"")</f>
        <v/>
      </c>
      <c r="L15" s="22" t="str">
        <f>IF(Statements!L89,Statements!L13-Statements!L14,"")</f>
        <v/>
      </c>
      <c r="M15" s="1"/>
      <c r="N15" s="1"/>
    </row>
    <row r="16" spans="1:14" ht="32.1" customHeight="1">
      <c r="A16" s="1"/>
      <c r="B16" s="2" t="s">
        <v>65</v>
      </c>
      <c r="C16" s="1"/>
      <c r="D16" s="15">
        <f>IF(COUNT(Statements!D15,Statements!D17)=2,IF(TRUE,Statements!D15-Statements!D17,""),"")</f>
        <v>565</v>
      </c>
      <c r="E16" s="15">
        <f>IF(COUNT(Statements!E15,Statements!E17)=2,IF(TRUE,Statements!E15-Statements!E17,""),"")</f>
        <v>-269</v>
      </c>
      <c r="F16" s="15">
        <f>IF(COUNT(Statements!F15,Statements!F17)=2,IF(TRUE,Statements!F15-Statements!F17,""),"")</f>
        <v>321</v>
      </c>
      <c r="G16" s="1"/>
      <c r="H16" s="11" t="str">
        <f>IF(Statements!H89,Statements!F39*Assumptions!F18-Assumptions!F22,"")</f>
        <v/>
      </c>
      <c r="I16" s="11" t="str">
        <f>IF(Statements!I89,Statements!H39*Assumptions!G18-Assumptions!G22,"")</f>
        <v/>
      </c>
      <c r="J16" s="11" t="str">
        <f>IF(Statements!J89,Statements!I39*Assumptions!H18-Assumptions!H22,"")</f>
        <v/>
      </c>
      <c r="K16" s="11" t="str">
        <f>IF(Statements!K89,Statements!J39*Assumptions!I18-Assumptions!I22,"")</f>
        <v/>
      </c>
      <c r="L16" s="11" t="str">
        <f>IF(Statements!L89,Statements!K39*Assumptions!J18-Assumptions!J22,"")</f>
        <v/>
      </c>
      <c r="M16" s="1"/>
      <c r="N16" s="5" t="s">
        <v>66</v>
      </c>
    </row>
    <row r="17" spans="1:14" ht="21.95" customHeight="1">
      <c r="A17" s="1"/>
      <c r="B17" s="2" t="s">
        <v>67</v>
      </c>
      <c r="C17" s="1"/>
      <c r="D17" s="11">
        <f>IF(COUNT(History!E17)=1,IF(TRUE,History!E17,""),"")</f>
        <v>113736</v>
      </c>
      <c r="E17" s="11">
        <f>IF(COUNT(History!F17)=1,IF(TRUE,History!F17,""),"")</f>
        <v>123485</v>
      </c>
      <c r="F17" s="11">
        <f>IF(COUNT(History!G17)=1,IF(TRUE,History!G17,""),"")</f>
        <v>132729</v>
      </c>
      <c r="G17" s="1"/>
      <c r="H17" s="15" t="str">
        <f>IF(Statements!H89,Statements!H15-Statements!H16,"")</f>
        <v/>
      </c>
      <c r="I17" s="15" t="str">
        <f>IF(Statements!I89,Statements!I15-Statements!I16,"")</f>
        <v/>
      </c>
      <c r="J17" s="15" t="str">
        <f>IF(Statements!J89,Statements!J15-Statements!J16,"")</f>
        <v/>
      </c>
      <c r="K17" s="15" t="str">
        <f>IF(Statements!K89,Statements!K15-Statements!K16,"")</f>
        <v/>
      </c>
      <c r="L17" s="15" t="str">
        <f>IF(Statements!L89,Statements!L15-Statements!L16,"")</f>
        <v/>
      </c>
      <c r="M17" s="1"/>
      <c r="N17" s="1"/>
    </row>
    <row r="18" spans="1:14" ht="21.95" customHeight="1">
      <c r="A18" s="1"/>
      <c r="B18" s="2" t="s">
        <v>68</v>
      </c>
      <c r="C18" s="1"/>
      <c r="D18" s="11">
        <f>IF(COUNT(History!E18)=1,IF(TRUE,History!E18,""),"")</f>
        <v>16741</v>
      </c>
      <c r="E18" s="11">
        <f>IF(COUNT(History!F18)=1,IF(TRUE,History!F18,""),"")</f>
        <v>29749</v>
      </c>
      <c r="F18" s="11">
        <f>IF(COUNT(History!G18)=1,IF(TRUE,History!G18,""),"")</f>
        <v>20719</v>
      </c>
      <c r="G18" s="1"/>
      <c r="H18" s="11" t="str">
        <f>IF(Statements!H89,MAX(0,Statements!H17)*Assumptions!F12,"")</f>
        <v/>
      </c>
      <c r="I18" s="11" t="str">
        <f>IF(Statements!I89,MAX(0,Statements!I17)*Assumptions!G12,"")</f>
        <v/>
      </c>
      <c r="J18" s="11" t="str">
        <f>IF(Statements!J89,MAX(0,Statements!J17)*Assumptions!H12,"")</f>
        <v/>
      </c>
      <c r="K18" s="11" t="str">
        <f>IF(Statements!K89,MAX(0,Statements!K17)*Assumptions!I12,"")</f>
        <v/>
      </c>
      <c r="L18" s="11" t="str">
        <f>IF(Statements!L89,MAX(0,Statements!L17)*Assumptions!J12,"")</f>
        <v/>
      </c>
      <c r="M18" s="1"/>
      <c r="N18" s="1"/>
    </row>
    <row r="19" spans="1:14" ht="21.95" customHeight="1">
      <c r="A19" s="1"/>
      <c r="B19" s="20" t="s">
        <v>69</v>
      </c>
      <c r="C19" s="21"/>
      <c r="D19" s="23">
        <f>IF(COUNT(History!E19)=1,IF(TRUE,History!E19,""),"")</f>
        <v>96995</v>
      </c>
      <c r="E19" s="23">
        <f>IF(COUNT(History!F19)=1,IF(TRUE,History!F19,""),"")</f>
        <v>93736</v>
      </c>
      <c r="F19" s="23">
        <f>IF(COUNT(History!G19)=1,IF(TRUE,History!G19,""),"")</f>
        <v>112010</v>
      </c>
      <c r="G19" s="21"/>
      <c r="H19" s="22" t="str">
        <f>IF(Statements!H89,Statements!H17-Statements!H18,"")</f>
        <v/>
      </c>
      <c r="I19" s="22" t="str">
        <f>IF(Statements!I89,Statements!I17-Statements!I18,"")</f>
        <v/>
      </c>
      <c r="J19" s="22" t="str">
        <f>IF(Statements!J89,Statements!J17-Statements!J18,"")</f>
        <v/>
      </c>
      <c r="K19" s="22" t="str">
        <f>IF(Statements!K89,Statements!K17-Statements!K18,"")</f>
        <v/>
      </c>
      <c r="L19" s="22" t="str">
        <f>IF(Statements!L89,Statements!L17-Statements!L18,"")</f>
        <v/>
      </c>
      <c r="M19" s="1"/>
      <c r="N19" s="1"/>
    </row>
    <row r="20" spans="1:14" ht="21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21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1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1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21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21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1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21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21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4.95" customHeight="1">
      <c r="A29" s="1"/>
      <c r="B29" s="32" t="s">
        <v>70</v>
      </c>
      <c r="C29" s="32" t="s">
        <v>70</v>
      </c>
      <c r="D29" s="32" t="s">
        <v>70</v>
      </c>
      <c r="E29" s="32" t="s">
        <v>70</v>
      </c>
      <c r="F29" s="32" t="s">
        <v>70</v>
      </c>
      <c r="G29" s="32" t="s">
        <v>70</v>
      </c>
      <c r="H29" s="32" t="s">
        <v>70</v>
      </c>
      <c r="I29" s="32" t="s">
        <v>70</v>
      </c>
      <c r="J29" s="32" t="s">
        <v>70</v>
      </c>
      <c r="K29" s="32" t="s">
        <v>70</v>
      </c>
      <c r="L29" s="32" t="s">
        <v>70</v>
      </c>
      <c r="M29" s="1"/>
      <c r="N29" s="1"/>
    </row>
    <row r="30" spans="1:14" ht="21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21.95" customHeight="1">
      <c r="A31" s="1"/>
      <c r="B31" s="2" t="s">
        <v>71</v>
      </c>
      <c r="C31" s="1"/>
      <c r="D31" s="11">
        <f>IF(COUNT(History!E21)=1,IF(TRUE,History!E21,""),"")</f>
        <v>29965</v>
      </c>
      <c r="E31" s="11">
        <f>IF(COUNT(History!F21)=1,IF(TRUE,History!F21,""),"")</f>
        <v>29943</v>
      </c>
      <c r="F31" s="11">
        <f>IF(COUNT(History!G21)=1,IF(TRUE,History!G21,""),"")</f>
        <v>35934</v>
      </c>
      <c r="G31" s="1"/>
      <c r="H31" s="15" t="str">
        <f>IF(Statements!H89,Statements!H73,"")</f>
        <v/>
      </c>
      <c r="I31" s="15" t="str">
        <f>IF(Statements!I89,Statements!I73,"")</f>
        <v/>
      </c>
      <c r="J31" s="15" t="str">
        <f>IF(Statements!J89,Statements!J73,"")</f>
        <v/>
      </c>
      <c r="K31" s="15" t="str">
        <f>IF(Statements!K89,Statements!K73,"")</f>
        <v/>
      </c>
      <c r="L31" s="15" t="str">
        <f>IF(Statements!L89,Statements!L73,"")</f>
        <v/>
      </c>
      <c r="M31" s="1"/>
      <c r="N31" s="1"/>
    </row>
    <row r="32" spans="1:14" ht="21.95" customHeight="1">
      <c r="A32" s="1"/>
      <c r="B32" s="2" t="s">
        <v>72</v>
      </c>
      <c r="C32" s="1"/>
      <c r="D32" s="11">
        <f>IF(COUNT(History!E22)=1,IF(TRUE,History!E22,""),"")</f>
        <v>29508</v>
      </c>
      <c r="E32" s="11">
        <f>IF(COUNT(History!F22)=1,IF(TRUE,History!F22,""),"")</f>
        <v>33410</v>
      </c>
      <c r="F32" s="11">
        <f>IF(COUNT(History!G22)=1,IF(TRUE,History!G22,""),"")</f>
        <v>39777</v>
      </c>
      <c r="G32" s="1"/>
      <c r="H32" s="11" t="str">
        <f>IF(Statements!H89,Statements!H9/365*Assumptions!F13,"")</f>
        <v/>
      </c>
      <c r="I32" s="11" t="str">
        <f>IF(Statements!I89,Statements!I9/365*Assumptions!G13,"")</f>
        <v/>
      </c>
      <c r="J32" s="11" t="str">
        <f>IF(Statements!J89,Statements!J9/365*Assumptions!H13,"")</f>
        <v/>
      </c>
      <c r="K32" s="11" t="str">
        <f>IF(Statements!K89,Statements!K9/365*Assumptions!I13,"")</f>
        <v/>
      </c>
      <c r="L32" s="11" t="str">
        <f>IF(Statements!L89,Statements!L9/365*Assumptions!J13,"")</f>
        <v/>
      </c>
      <c r="M32" s="1"/>
      <c r="N32" s="1"/>
    </row>
    <row r="33" spans="1:14" ht="21.95" customHeight="1">
      <c r="A33" s="1"/>
      <c r="B33" s="2" t="s">
        <v>73</v>
      </c>
      <c r="C33" s="1"/>
      <c r="D33" s="11">
        <f>IF(COUNT(History!E23)=1,IF(TRUE,History!E23,""),"")</f>
        <v>6331</v>
      </c>
      <c r="E33" s="11">
        <f>IF(COUNT(History!F23)=1,IF(TRUE,History!F23,""),"")</f>
        <v>7286</v>
      </c>
      <c r="F33" s="11">
        <f>IF(COUNT(History!G23)=1,IF(TRUE,History!G23,""),"")</f>
        <v>5718</v>
      </c>
      <c r="G33" s="1"/>
      <c r="H33" s="11" t="str">
        <f>IF(Statements!H89,Statements!H10/365*Assumptions!F14,"")</f>
        <v/>
      </c>
      <c r="I33" s="11" t="str">
        <f>IF(Statements!I89,Statements!I10/365*Assumptions!G14,"")</f>
        <v/>
      </c>
      <c r="J33" s="11" t="str">
        <f>IF(Statements!J89,Statements!J10/365*Assumptions!H14,"")</f>
        <v/>
      </c>
      <c r="K33" s="11" t="str">
        <f>IF(Statements!K89,Statements!K10/365*Assumptions!I14,"")</f>
        <v/>
      </c>
      <c r="L33" s="11" t="str">
        <f>IF(Statements!L89,Statements!L10/365*Assumptions!J14,"")</f>
        <v/>
      </c>
      <c r="M33" s="1"/>
      <c r="N33" s="1"/>
    </row>
    <row r="34" spans="1:14" ht="21.95" customHeight="1">
      <c r="A34" s="1"/>
      <c r="B34" s="2" t="s">
        <v>74</v>
      </c>
      <c r="C34" s="1"/>
      <c r="D34" s="11">
        <f>IF(COUNT(History!E24)=1,IF(TRUE,History!E24,""),"")</f>
        <v>43715</v>
      </c>
      <c r="E34" s="11">
        <f>IF(COUNT(History!F24)=1,IF(TRUE,History!F24,""),"")</f>
        <v>45680</v>
      </c>
      <c r="F34" s="11">
        <f>IF(COUNT(History!G24)=1,IF(TRUE,History!G24,""),"")</f>
        <v>49834</v>
      </c>
      <c r="G34" s="1"/>
      <c r="H34" s="15" t="str">
        <f>IF(Statements!H89,Statements!F34+Statements!H63-Statements!H14,"")</f>
        <v/>
      </c>
      <c r="I34" s="15" t="str">
        <f>IF(Statements!I89,Statements!H34+Statements!I63-Statements!I14,"")</f>
        <v/>
      </c>
      <c r="J34" s="15" t="str">
        <f>IF(Statements!J89,Statements!I34+Statements!J63-Statements!J14,"")</f>
        <v/>
      </c>
      <c r="K34" s="15" t="str">
        <f>IF(Statements!K89,Statements!J34+Statements!K63-Statements!K14,"")</f>
        <v/>
      </c>
      <c r="L34" s="15" t="str">
        <f>IF(Statements!L89,Statements!K34+Statements!L63-Statements!L14,"")</f>
        <v/>
      </c>
      <c r="M34" s="1"/>
      <c r="N34" s="1"/>
    </row>
    <row r="35" spans="1:14" ht="32.1" customHeight="1">
      <c r="A35" s="1"/>
      <c r="B35" s="2" t="s">
        <v>75</v>
      </c>
      <c r="C35" s="1"/>
      <c r="D35" s="15">
        <f>IF(COUNT(Statements!D36,Statements!D31,Statements!D32,Statements!D33,Statements!D34)=5,IF(TRUE,Statements!D36-SUM(Statements!D31:'Statements'!D34),""),"")</f>
        <v>243064</v>
      </c>
      <c r="E35" s="15">
        <f>IF(COUNT(Statements!E36,Statements!E31,Statements!E32,Statements!E33,Statements!E34)=5,IF(TRUE,Statements!E36-SUM(Statements!E31:'Statements'!E34),""),"")</f>
        <v>248661</v>
      </c>
      <c r="F35" s="15">
        <f>IF(COUNT(Statements!F36,Statements!F31,Statements!F32,Statements!F33,Statements!F34)=5,IF(TRUE,Statements!F36-SUM(Statements!F31:'Statements'!F34),""),"")</f>
        <v>227978</v>
      </c>
      <c r="G35" s="1"/>
      <c r="H35" s="15" t="str">
        <f>IF(Statements!H89,Statements!F35,"")</f>
        <v/>
      </c>
      <c r="I35" s="15" t="str">
        <f>IF(Statements!I89,Statements!H35,"")</f>
        <v/>
      </c>
      <c r="J35" s="15" t="str">
        <f>IF(Statements!J89,Statements!I35,"")</f>
        <v/>
      </c>
      <c r="K35" s="15" t="str">
        <f>IF(Statements!K89,Statements!J35,"")</f>
        <v/>
      </c>
      <c r="L35" s="15" t="str">
        <f>IF(Statements!L89,Statements!K35,"")</f>
        <v/>
      </c>
      <c r="M35" s="1"/>
      <c r="N35" s="5" t="s">
        <v>76</v>
      </c>
    </row>
    <row r="36" spans="1:14" ht="21.95" customHeight="1">
      <c r="A36" s="1"/>
      <c r="B36" s="20" t="s">
        <v>77</v>
      </c>
      <c r="C36" s="21"/>
      <c r="D36" s="23">
        <f>IF(COUNT(History!E25)=1,IF(TRUE,History!E25,""),"")</f>
        <v>352583</v>
      </c>
      <c r="E36" s="23">
        <f>IF(COUNT(History!F25)=1,IF(TRUE,History!F25,""),"")</f>
        <v>364980</v>
      </c>
      <c r="F36" s="23">
        <f>IF(COUNT(History!G25)=1,IF(TRUE,History!G25,""),"")</f>
        <v>359241</v>
      </c>
      <c r="G36" s="21"/>
      <c r="H36" s="22" t="str">
        <f>IF(Statements!H89,SUM(Statements!H31:'Statements'!H35),"")</f>
        <v/>
      </c>
      <c r="I36" s="22" t="str">
        <f>IF(Statements!I89,SUM(Statements!I31:'Statements'!I35),"")</f>
        <v/>
      </c>
      <c r="J36" s="22" t="str">
        <f>IF(Statements!J89,SUM(Statements!J31:'Statements'!J35),"")</f>
        <v/>
      </c>
      <c r="K36" s="22" t="str">
        <f>IF(Statements!K89,SUM(Statements!K31:'Statements'!K35),"")</f>
        <v/>
      </c>
      <c r="L36" s="22" t="str">
        <f>IF(Statements!L89,SUM(Statements!L31:'Statements'!L35),"")</f>
        <v/>
      </c>
      <c r="M36" s="1"/>
      <c r="N36" s="1"/>
    </row>
    <row r="37" spans="1:14" ht="21.9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21.95" customHeight="1">
      <c r="A38" s="1"/>
      <c r="B38" s="2" t="s">
        <v>78</v>
      </c>
      <c r="C38" s="1"/>
      <c r="D38" s="11">
        <f>IF(COUNT(History!E26)=1,IF(TRUE,History!E26,""),"")</f>
        <v>62611</v>
      </c>
      <c r="E38" s="11">
        <f>IF(COUNT(History!F26)=1,IF(TRUE,History!F26,""),"")</f>
        <v>68960</v>
      </c>
      <c r="F38" s="11">
        <f>IF(COUNT(History!G26)=1,IF(TRUE,History!G26,""),"")</f>
        <v>69860</v>
      </c>
      <c r="G38" s="1"/>
      <c r="H38" s="11" t="str">
        <f>IF(Statements!H89,Statements!H10/365*Assumptions!F15,"")</f>
        <v/>
      </c>
      <c r="I38" s="11" t="str">
        <f>IF(Statements!I89,Statements!I10/365*Assumptions!G15,"")</f>
        <v/>
      </c>
      <c r="J38" s="11" t="str">
        <f>IF(Statements!J89,Statements!J10/365*Assumptions!H15,"")</f>
        <v/>
      </c>
      <c r="K38" s="11" t="str">
        <f>IF(Statements!K89,Statements!K10/365*Assumptions!I15,"")</f>
        <v/>
      </c>
      <c r="L38" s="11" t="str">
        <f>IF(Statements!L89,Statements!L10/365*Assumptions!J15,"")</f>
        <v/>
      </c>
      <c r="M38" s="1"/>
      <c r="N38" s="1"/>
    </row>
    <row r="39" spans="1:14" ht="21.95" customHeight="1">
      <c r="A39" s="1"/>
      <c r="B39" s="2" t="s">
        <v>79</v>
      </c>
      <c r="C39" s="1"/>
      <c r="D39" s="11">
        <f>IF(COUNT(History!E27)=1,IF(TRUE,History!E27,""),"")</f>
        <v>111088</v>
      </c>
      <c r="E39" s="11">
        <f>IF(COUNT(History!F27)=1,IF(TRUE,History!F27,""),"")</f>
        <v>106629</v>
      </c>
      <c r="F39" s="11">
        <f>IF(COUNT(History!G27)=1,IF(TRUE,History!G27,""),"")</f>
        <v>98657</v>
      </c>
      <c r="G39" s="1"/>
      <c r="H39" s="11" t="str">
        <f>IF(Statements!H89,Statements!F39+Assumptions!F20-Statements!F39*Assumptions!F19,"")</f>
        <v/>
      </c>
      <c r="I39" s="11" t="str">
        <f>IF(Statements!I89,Statements!H39+Assumptions!G20-Statements!H39*Assumptions!G19,"")</f>
        <v/>
      </c>
      <c r="J39" s="11" t="str">
        <f>IF(Statements!J89,Statements!I39+Assumptions!H20-Statements!I39*Assumptions!H19,"")</f>
        <v/>
      </c>
      <c r="K39" s="11" t="str">
        <f>IF(Statements!K89,Statements!J39+Assumptions!I20-Statements!J39*Assumptions!I19,"")</f>
        <v/>
      </c>
      <c r="L39" s="11" t="str">
        <f>IF(Statements!L89,Statements!K39+Assumptions!J20-Statements!K39*Assumptions!J19,"")</f>
        <v/>
      </c>
      <c r="M39" s="1"/>
      <c r="N39" s="1"/>
    </row>
    <row r="40" spans="1:14" ht="32.1" customHeight="1">
      <c r="A40" s="1"/>
      <c r="B40" s="2" t="s">
        <v>80</v>
      </c>
      <c r="C40" s="1"/>
      <c r="D40" s="15">
        <f>IF(COUNT(Statements!D41,Statements!D38,Statements!D39)=3,IF(TRUE,Statements!D41-Statements!D38-Statements!D39,""),"")</f>
        <v>116738</v>
      </c>
      <c r="E40" s="15">
        <f>IF(COUNT(Statements!E41,Statements!E38,Statements!E39)=3,IF(TRUE,Statements!E41-Statements!E38-Statements!E39,""),"")</f>
        <v>132441</v>
      </c>
      <c r="F40" s="15">
        <f>IF(COUNT(Statements!F41,Statements!F38,Statements!F39)=3,IF(TRUE,Statements!F41-Statements!F38-Statements!F39,""),"")</f>
        <v>116991</v>
      </c>
      <c r="G40" s="1"/>
      <c r="H40" s="15" t="str">
        <f>IF(Statements!H89,Statements!F40,"")</f>
        <v/>
      </c>
      <c r="I40" s="15" t="str">
        <f>IF(Statements!I89,Statements!H40,"")</f>
        <v/>
      </c>
      <c r="J40" s="15" t="str">
        <f>IF(Statements!J89,Statements!I40,"")</f>
        <v/>
      </c>
      <c r="K40" s="15" t="str">
        <f>IF(Statements!K89,Statements!J40,"")</f>
        <v/>
      </c>
      <c r="L40" s="15" t="str">
        <f>IF(Statements!L89,Statements!K40,"")</f>
        <v/>
      </c>
      <c r="M40" s="1"/>
      <c r="N40" s="5" t="s">
        <v>81</v>
      </c>
    </row>
    <row r="41" spans="1:14" ht="21.95" customHeight="1">
      <c r="A41" s="1"/>
      <c r="B41" s="2" t="s">
        <v>82</v>
      </c>
      <c r="C41" s="1"/>
      <c r="D41" s="11">
        <f>IF(ISNUMBER(History!E28),History!E28,IF(COUNT(History!E27,History!E50)=2,History!E27+History!E50,""))</f>
        <v>290437</v>
      </c>
      <c r="E41" s="11">
        <f>IF(ISNUMBER(History!F28),History!F28,IF(COUNT(History!F27,History!F50)=2,History!F27+History!F50,""))</f>
        <v>308030</v>
      </c>
      <c r="F41" s="11">
        <f>IF(ISNUMBER(History!G28),History!G28,IF(COUNT(History!G27,History!G50)=2,History!G27+History!G50,""))</f>
        <v>285508</v>
      </c>
      <c r="G41" s="1"/>
      <c r="H41" s="15" t="str">
        <f>IF(Statements!H89,SUM(Statements!H38:'Statements'!H40),"")</f>
        <v/>
      </c>
      <c r="I41" s="15" t="str">
        <f>IF(Statements!I89,SUM(Statements!I38:'Statements'!I40),"")</f>
        <v/>
      </c>
      <c r="J41" s="15" t="str">
        <f>IF(Statements!J89,SUM(Statements!J38:'Statements'!J40),"")</f>
        <v/>
      </c>
      <c r="K41" s="15" t="str">
        <f>IF(Statements!K89,SUM(Statements!K38:'Statements'!K40),"")</f>
        <v/>
      </c>
      <c r="L41" s="15" t="str">
        <f>IF(Statements!L89,SUM(Statements!L38:'Statements'!L40),"")</f>
        <v/>
      </c>
      <c r="M41" s="1"/>
      <c r="N41" s="1"/>
    </row>
    <row r="42" spans="1:14" ht="32.1" customHeight="1">
      <c r="A42" s="1"/>
      <c r="B42" s="2" t="s">
        <v>83</v>
      </c>
      <c r="C42" s="1"/>
      <c r="D42" s="11">
        <f>IF(ISNUMBER(History!E29),History!E29,IF(COUNT(History!E47,History!E48)=2,History!E47+History!E48,""))</f>
        <v>62146</v>
      </c>
      <c r="E42" s="11">
        <f>IF(ISNUMBER(History!F29),History!F29,IF(COUNT(History!F47,History!F48)=2,History!F47+History!F48,""))</f>
        <v>56950</v>
      </c>
      <c r="F42" s="11">
        <f>IF(ISNUMBER(History!G29),History!G29,IF(COUNT(History!G47,History!G48)=2,History!G47+History!G48,""))</f>
        <v>73733</v>
      </c>
      <c r="G42" s="1"/>
      <c r="H42" s="11" t="str">
        <f>IF(Statements!H89,Statements!F42+Statements!H19-Statements!H67+Assumptions!F23,"")</f>
        <v/>
      </c>
      <c r="I42" s="11" t="str">
        <f>IF(Statements!I89,Statements!H42+Statements!I19-Statements!I67+Assumptions!G23,"")</f>
        <v/>
      </c>
      <c r="J42" s="11" t="str">
        <f>IF(Statements!J89,Statements!I42+Statements!J19-Statements!J67+Assumptions!H23,"")</f>
        <v/>
      </c>
      <c r="K42" s="11" t="str">
        <f>IF(Statements!K89,Statements!J42+Statements!K19-Statements!K67+Assumptions!I23,"")</f>
        <v/>
      </c>
      <c r="L42" s="11" t="str">
        <f>IF(Statements!L89,Statements!K42+Statements!L19-Statements!L67+Assumptions!J23,"")</f>
        <v/>
      </c>
      <c r="M42" s="1"/>
      <c r="N42" s="5" t="s">
        <v>84</v>
      </c>
    </row>
    <row r="43" spans="1:14" ht="21.95" customHeight="1">
      <c r="A43" s="1"/>
      <c r="B43" s="20" t="s">
        <v>85</v>
      </c>
      <c r="C43" s="21"/>
      <c r="D43" s="22">
        <f>IF(COUNT(Statements!D41,Statements!D42)=2,IF(TRUE,Statements!D41+Statements!D42,""),"")</f>
        <v>352583</v>
      </c>
      <c r="E43" s="22">
        <f>IF(COUNT(Statements!E41,Statements!E42)=2,IF(TRUE,Statements!E41+Statements!E42,""),"")</f>
        <v>364980</v>
      </c>
      <c r="F43" s="22">
        <f>IF(COUNT(Statements!F41,Statements!F42)=2,IF(TRUE,Statements!F41+Statements!F42,""),"")</f>
        <v>359241</v>
      </c>
      <c r="G43" s="21"/>
      <c r="H43" s="22" t="str">
        <f>IF(Statements!H89,Statements!H41+Statements!H42,"")</f>
        <v/>
      </c>
      <c r="I43" s="22" t="str">
        <f>IF(Statements!I89,Statements!I41+Statements!I42,"")</f>
        <v/>
      </c>
      <c r="J43" s="22" t="str">
        <f>IF(Statements!J89,Statements!J41+Statements!J42,"")</f>
        <v/>
      </c>
      <c r="K43" s="22" t="str">
        <f>IF(Statements!K89,Statements!K41+Statements!K42,"")</f>
        <v/>
      </c>
      <c r="L43" s="22" t="str">
        <f>IF(Statements!L89,Statements!L41+Statements!L42,"")</f>
        <v/>
      </c>
      <c r="M43" s="1"/>
      <c r="N43" s="1"/>
    </row>
    <row r="44" spans="1:14" ht="21.9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21.9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21.9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21.9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21.9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21.9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21.9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21.9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21.9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21.9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21.9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24.95" customHeight="1">
      <c r="A55" s="1"/>
      <c r="B55" s="32" t="s">
        <v>86</v>
      </c>
      <c r="C55" s="32" t="s">
        <v>86</v>
      </c>
      <c r="D55" s="32" t="s">
        <v>86</v>
      </c>
      <c r="E55" s="32" t="s">
        <v>86</v>
      </c>
      <c r="F55" s="32" t="s">
        <v>86</v>
      </c>
      <c r="G55" s="32" t="s">
        <v>86</v>
      </c>
      <c r="H55" s="32" t="s">
        <v>86</v>
      </c>
      <c r="I55" s="32" t="s">
        <v>86</v>
      </c>
      <c r="J55" s="32" t="s">
        <v>86</v>
      </c>
      <c r="K55" s="32" t="s">
        <v>86</v>
      </c>
      <c r="L55" s="32" t="s">
        <v>86</v>
      </c>
      <c r="M55" s="1"/>
      <c r="N55" s="1"/>
    </row>
    <row r="56" spans="1:14" ht="21.9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21.9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21.95" customHeight="1">
      <c r="A58" s="1"/>
      <c r="B58" s="2" t="s">
        <v>69</v>
      </c>
      <c r="C58" s="1"/>
      <c r="D58" s="15">
        <f>IF(COUNT(Statements!D19)=1,IF(TRUE,Statements!D19,""),"")</f>
        <v>96995</v>
      </c>
      <c r="E58" s="15">
        <f>IF(COUNT(Statements!E19)=1,IF(TRUE,Statements!E19,""),"")</f>
        <v>93736</v>
      </c>
      <c r="F58" s="15">
        <f>IF(COUNT(Statements!F19)=1,IF(TRUE,Statements!F19,""),"")</f>
        <v>112010</v>
      </c>
      <c r="G58" s="1"/>
      <c r="H58" s="15" t="str">
        <f>IF(Statements!H89,Statements!H19,"")</f>
        <v/>
      </c>
      <c r="I58" s="15" t="str">
        <f>IF(Statements!I89,Statements!I19,"")</f>
        <v/>
      </c>
      <c r="J58" s="15" t="str">
        <f>IF(Statements!J89,Statements!J19,"")</f>
        <v/>
      </c>
      <c r="K58" s="15" t="str">
        <f>IF(Statements!K89,Statements!K19,"")</f>
        <v/>
      </c>
      <c r="L58" s="15" t="str">
        <f>IF(Statements!L89,Statements!L19,"")</f>
        <v/>
      </c>
      <c r="M58" s="1"/>
      <c r="N58" s="1"/>
    </row>
    <row r="59" spans="1:14" ht="21.95" customHeight="1">
      <c r="A59" s="1"/>
      <c r="B59" s="2" t="s">
        <v>87</v>
      </c>
      <c r="C59" s="1"/>
      <c r="D59" s="15">
        <f>IF(COUNT(Statements!D14)=1,IF(TRUE,Statements!D14,""),"")</f>
        <v>11519</v>
      </c>
      <c r="E59" s="15">
        <f>IF(COUNT(Statements!E14)=1,IF(TRUE,Statements!E14,""),"")</f>
        <v>11445</v>
      </c>
      <c r="F59" s="15">
        <f>IF(COUNT(Statements!F14)=1,IF(TRUE,Statements!F14,""),"")</f>
        <v>11698</v>
      </c>
      <c r="G59" s="1"/>
      <c r="H59" s="15" t="str">
        <f>IF(Statements!H89,Statements!H14,"")</f>
        <v/>
      </c>
      <c r="I59" s="15" t="str">
        <f>IF(Statements!I89,Statements!I14,"")</f>
        <v/>
      </c>
      <c r="J59" s="15" t="str">
        <f>IF(Statements!J89,Statements!J14,"")</f>
        <v/>
      </c>
      <c r="K59" s="15" t="str">
        <f>IF(Statements!K89,Statements!K14,"")</f>
        <v/>
      </c>
      <c r="L59" s="15" t="str">
        <f>IF(Statements!L89,Statements!L14,"")</f>
        <v/>
      </c>
      <c r="M59" s="1"/>
      <c r="N59" s="1"/>
    </row>
    <row r="60" spans="1:14" ht="32.1" customHeight="1">
      <c r="A60" s="1"/>
      <c r="B60" s="2" t="s">
        <v>88</v>
      </c>
      <c r="C60" s="1"/>
      <c r="D60" s="15">
        <f>IF(COUNT(Statements!D62,Statements!D58,Statements!D59,Statements!D61)=4,IF(TRUE,Statements!D62-Statements!D58-Statements!D59+Statements!D61,""),"")</f>
        <v>6242</v>
      </c>
      <c r="E60" s="15">
        <f>IF(COUNT(Statements!E62,Statements!E58,Statements!E59,Statements!E61)=4,IF(TRUE,Statements!E62-Statements!E58-Statements!E59+Statements!E61,""),"")</f>
        <v>11581</v>
      </c>
      <c r="F60" s="15">
        <f>IF(COUNT(Statements!F62,Statements!F58,Statements!F59,Statements!F61)=4,IF(TRUE,Statements!F62-Statements!F58-Statements!F59+Statements!F61,""),"")</f>
        <v>-8327</v>
      </c>
      <c r="G60" s="1"/>
      <c r="H60" s="15" t="str">
        <f>IF(Statements!H89,0,"")</f>
        <v/>
      </c>
      <c r="I60" s="15" t="str">
        <f>IF(Statements!I89,0,"")</f>
        <v/>
      </c>
      <c r="J60" s="15" t="str">
        <f>IF(Statements!J89,0,"")</f>
        <v/>
      </c>
      <c r="K60" s="15" t="str">
        <f>IF(Statements!K89,0,"")</f>
        <v/>
      </c>
      <c r="L60" s="15" t="str">
        <f>IF(Statements!L89,0,"")</f>
        <v/>
      </c>
      <c r="M60" s="1"/>
      <c r="N60" s="5" t="s">
        <v>89</v>
      </c>
    </row>
    <row r="61" spans="1:14" ht="21.95" customHeight="1">
      <c r="A61" s="1"/>
      <c r="B61" s="2" t="s">
        <v>90</v>
      </c>
      <c r="C61" s="1"/>
      <c r="D61" s="11">
        <f>IF(COUNT(History!E22,History!E23,History!E26,History!D22,History!D23,History!D26)=6,IF(TRUE,Statements!D86-(History!D22+History!D23-History!D26),""),"")</f>
        <v>4213</v>
      </c>
      <c r="E61" s="11">
        <f>IF(COUNT(History!F22,History!F23,History!F26,History!E22,History!E23,History!E26)=6,IF(TRUE,Statements!E86-(History!E22+History!E23-History!E26),""),"")</f>
        <v>-1492</v>
      </c>
      <c r="F61" s="11">
        <f>IF(COUNT(History!G22,History!G23,History!G26,History!F22,History!F23,History!F26)=6,IF(TRUE,Statements!F86-(History!F22+History!F23-History!F26),""),"")</f>
        <v>3899</v>
      </c>
      <c r="G61" s="1"/>
      <c r="H61" s="15" t="str">
        <f>IF(Statements!H89,Statements!H86-Statements!F86,"")</f>
        <v/>
      </c>
      <c r="I61" s="15" t="str">
        <f>IF(Statements!I89,Statements!I86-Statements!H86,"")</f>
        <v/>
      </c>
      <c r="J61" s="15" t="str">
        <f>IF(Statements!J89,Statements!J86-Statements!I86,"")</f>
        <v/>
      </c>
      <c r="K61" s="15" t="str">
        <f>IF(Statements!K89,Statements!K86-Statements!J86,"")</f>
        <v/>
      </c>
      <c r="L61" s="15" t="str">
        <f>IF(Statements!L89,Statements!L86-Statements!K86,"")</f>
        <v/>
      </c>
      <c r="M61" s="1"/>
      <c r="N61" s="1"/>
    </row>
    <row r="62" spans="1:14" ht="21.95" customHeight="1">
      <c r="A62" s="1"/>
      <c r="B62" s="20" t="s">
        <v>91</v>
      </c>
      <c r="C62" s="21"/>
      <c r="D62" s="23">
        <f>IF(COUNT(History!E33)=1,IF(TRUE,History!E33,""),"")</f>
        <v>110543</v>
      </c>
      <c r="E62" s="23">
        <f>IF(COUNT(History!F33)=1,IF(TRUE,History!F33,""),"")</f>
        <v>118254</v>
      </c>
      <c r="F62" s="23">
        <f>IF(COUNT(History!G33)=1,IF(TRUE,History!G33,""),"")</f>
        <v>111482</v>
      </c>
      <c r="G62" s="21"/>
      <c r="H62" s="22" t="str">
        <f>IF(Statements!H89,Statements!H58+Statements!H59-Statements!H61,"")</f>
        <v/>
      </c>
      <c r="I62" s="22" t="str">
        <f>IF(Statements!I89,Statements!I58+Statements!I59-Statements!I61,"")</f>
        <v/>
      </c>
      <c r="J62" s="22" t="str">
        <f>IF(Statements!J89,Statements!J58+Statements!J59-Statements!J61,"")</f>
        <v/>
      </c>
      <c r="K62" s="22" t="str">
        <f>IF(Statements!K89,Statements!K58+Statements!K59-Statements!K61,"")</f>
        <v/>
      </c>
      <c r="L62" s="22" t="str">
        <f>IF(Statements!L89,Statements!L58+Statements!L59-Statements!L61,"")</f>
        <v/>
      </c>
      <c r="M62" s="1"/>
      <c r="N62" s="1"/>
    </row>
    <row r="63" spans="1:14" ht="21.95" customHeight="1">
      <c r="A63" s="1"/>
      <c r="B63" s="2" t="s">
        <v>92</v>
      </c>
      <c r="C63" s="1"/>
      <c r="D63" s="11">
        <f>IF(COUNT(History!E36)=1,IF(TRUE,History!E36,""),"")</f>
        <v>10959</v>
      </c>
      <c r="E63" s="11">
        <f>IF(COUNT(History!F36)=1,IF(TRUE,History!F36,""),"")</f>
        <v>9447</v>
      </c>
      <c r="F63" s="11">
        <f>IF(COUNT(History!G36)=1,IF(TRUE,History!G36,""),"")</f>
        <v>12715</v>
      </c>
      <c r="G63" s="1"/>
      <c r="H63" s="11" t="str">
        <f>IF(Statements!H89,Statements!H9*Assumptions!F16,"")</f>
        <v/>
      </c>
      <c r="I63" s="11" t="str">
        <f>IF(Statements!I89,Statements!I9*Assumptions!G16,"")</f>
        <v/>
      </c>
      <c r="J63" s="11" t="str">
        <f>IF(Statements!J89,Statements!J9*Assumptions!H16,"")</f>
        <v/>
      </c>
      <c r="K63" s="11" t="str">
        <f>IF(Statements!K89,Statements!K9*Assumptions!I16,"")</f>
        <v/>
      </c>
      <c r="L63" s="11" t="str">
        <f>IF(Statements!L89,Statements!L9*Assumptions!J16,"")</f>
        <v/>
      </c>
      <c r="M63" s="1"/>
      <c r="N63" s="1"/>
    </row>
    <row r="64" spans="1:14" ht="32.1" customHeight="1">
      <c r="A64" s="1"/>
      <c r="B64" s="2" t="s">
        <v>93</v>
      </c>
      <c r="C64" s="1"/>
      <c r="D64" s="15">
        <f>IF(COUNT(Statements!D65,Statements!D63)=2,IF(TRUE,Statements!D65+Statements!D63,""),"")</f>
        <v>14664</v>
      </c>
      <c r="E64" s="15">
        <f>IF(COUNT(Statements!E65,Statements!E63)=2,IF(TRUE,Statements!E65+Statements!E63,""),"")</f>
        <v>12382</v>
      </c>
      <c r="F64" s="15">
        <f>IF(COUNT(Statements!F65,Statements!F63)=2,IF(TRUE,Statements!F65+Statements!F63,""),"")</f>
        <v>27910</v>
      </c>
      <c r="G64" s="1"/>
      <c r="H64" s="15" t="str">
        <f>IF(Statements!H89,0,"")</f>
        <v/>
      </c>
      <c r="I64" s="15" t="str">
        <f>IF(Statements!I89,0,"")</f>
        <v/>
      </c>
      <c r="J64" s="15" t="str">
        <f>IF(Statements!J89,0,"")</f>
        <v/>
      </c>
      <c r="K64" s="15" t="str">
        <f>IF(Statements!K89,0,"")</f>
        <v/>
      </c>
      <c r="L64" s="15" t="str">
        <f>IF(Statements!L89,0,"")</f>
        <v/>
      </c>
      <c r="M64" s="1"/>
      <c r="N64" s="5" t="s">
        <v>94</v>
      </c>
    </row>
    <row r="65" spans="1:14" ht="21.95" customHeight="1">
      <c r="A65" s="1"/>
      <c r="B65" s="20" t="s">
        <v>95</v>
      </c>
      <c r="C65" s="21"/>
      <c r="D65" s="23">
        <f>IF(COUNT(History!E34)=1,IF(TRUE,History!E34,""),"")</f>
        <v>3705</v>
      </c>
      <c r="E65" s="23">
        <f>IF(COUNT(History!F34)=1,IF(TRUE,History!F34,""),"")</f>
        <v>2935</v>
      </c>
      <c r="F65" s="23">
        <f>IF(COUNT(History!G34)=1,IF(TRUE,History!G34,""),"")</f>
        <v>15195</v>
      </c>
      <c r="G65" s="21"/>
      <c r="H65" s="22" t="str">
        <f>IF(Statements!H89,-Statements!H63,"")</f>
        <v/>
      </c>
      <c r="I65" s="22" t="str">
        <f>IF(Statements!I89,-Statements!I63,"")</f>
        <v/>
      </c>
      <c r="J65" s="22" t="str">
        <f>IF(Statements!J89,-Statements!J63,"")</f>
        <v/>
      </c>
      <c r="K65" s="22" t="str">
        <f>IF(Statements!K89,-Statements!K63,"")</f>
        <v/>
      </c>
      <c r="L65" s="22" t="str">
        <f>IF(Statements!L89,-Statements!L63,"")</f>
        <v/>
      </c>
      <c r="M65" s="1"/>
      <c r="N65" s="1"/>
    </row>
    <row r="66" spans="1:14" ht="32.1" customHeight="1">
      <c r="A66" s="1"/>
      <c r="B66" s="2" t="s">
        <v>96</v>
      </c>
      <c r="C66" s="1"/>
      <c r="D66" s="11">
        <f>IF(COUNT(History!E42)=1,IF(TRUE,History!E42,""),"")</f>
        <v>-9901</v>
      </c>
      <c r="E66" s="11">
        <f>IF(COUNT(History!F42)=1,IF(TRUE,History!F42,""),"")</f>
        <v>-5998</v>
      </c>
      <c r="F66" s="11">
        <f>IF(COUNT(History!G42)=1,IF(TRUE,History!G42,""),"")</f>
        <v>-8483</v>
      </c>
      <c r="G66" s="1"/>
      <c r="H66" s="11" t="str">
        <f>IF(Statements!H89,Assumptions!F20-Statements!F39*Assumptions!F19,"")</f>
        <v/>
      </c>
      <c r="I66" s="11" t="str">
        <f>IF(Statements!I89,Assumptions!G20-Statements!H39*Assumptions!G19,"")</f>
        <v/>
      </c>
      <c r="J66" s="11" t="str">
        <f>IF(Statements!J89,Assumptions!H20-Statements!I39*Assumptions!H19,"")</f>
        <v/>
      </c>
      <c r="K66" s="11" t="str">
        <f>IF(Statements!K89,Assumptions!I20-Statements!J39*Assumptions!I19,"")</f>
        <v/>
      </c>
      <c r="L66" s="11" t="str">
        <f>IF(Statements!L89,Assumptions!J20-Statements!K39*Assumptions!J19,"")</f>
        <v/>
      </c>
      <c r="M66" s="1"/>
      <c r="N66" s="5" t="s">
        <v>97</v>
      </c>
    </row>
    <row r="67" spans="1:14" ht="21.95" customHeight="1">
      <c r="A67" s="1"/>
      <c r="B67" s="2" t="s">
        <v>98</v>
      </c>
      <c r="C67" s="1"/>
      <c r="D67" s="11">
        <f>IF(COUNT(History!E37)=1,IF(TRUE,History!E37,""),"")</f>
        <v>15025</v>
      </c>
      <c r="E67" s="11">
        <f>IF(COUNT(History!F37)=1,IF(TRUE,History!F37,""),"")</f>
        <v>15234</v>
      </c>
      <c r="F67" s="11">
        <f>IF(COUNT(History!G37)=1,IF(TRUE,History!G37,""),"")</f>
        <v>15421</v>
      </c>
      <c r="G67" s="1"/>
      <c r="H67" s="11" t="str">
        <f>IF(Statements!H89,MAX(0,Statements!H19)*Assumptions!F21,"")</f>
        <v/>
      </c>
      <c r="I67" s="11" t="str">
        <f>IF(Statements!I89,MAX(0,Statements!I19)*Assumptions!G21,"")</f>
        <v/>
      </c>
      <c r="J67" s="11" t="str">
        <f>IF(Statements!J89,MAX(0,Statements!J19)*Assumptions!H21,"")</f>
        <v/>
      </c>
      <c r="K67" s="11" t="str">
        <f>IF(Statements!K89,MAX(0,Statements!K19)*Assumptions!I21,"")</f>
        <v/>
      </c>
      <c r="L67" s="11" t="str">
        <f>IF(Statements!L89,MAX(0,Statements!L19)*Assumptions!J21,"")</f>
        <v/>
      </c>
      <c r="M67" s="1"/>
      <c r="N67" s="1"/>
    </row>
    <row r="68" spans="1:14" ht="32.1" customHeight="1">
      <c r="A68" s="1"/>
      <c r="B68" s="2" t="s">
        <v>99</v>
      </c>
      <c r="C68" s="1"/>
      <c r="D68" s="15">
        <f>IF(COUNT(Statements!D69,Statements!D66,Statements!D67)=3,IF(TRUE,Statements!D69-Statements!D66+Statements!D67,""),"")</f>
        <v>-83562</v>
      </c>
      <c r="E68" s="15">
        <f>IF(COUNT(Statements!E69,Statements!E66,Statements!E67)=3,IF(TRUE,Statements!E69-Statements!E66+Statements!E67,""),"")</f>
        <v>-100751</v>
      </c>
      <c r="F68" s="15">
        <f>IF(COUNT(Statements!F69,Statements!F66,Statements!F67)=3,IF(TRUE,Statements!F69-Statements!F66+Statements!F67,""),"")</f>
        <v>-96782</v>
      </c>
      <c r="G68" s="1"/>
      <c r="H68" s="11" t="str">
        <f>IF(Statements!H89,Assumptions!F23,"")</f>
        <v/>
      </c>
      <c r="I68" s="11" t="str">
        <f>IF(Statements!I89,Assumptions!G23,"")</f>
        <v/>
      </c>
      <c r="J68" s="11" t="str">
        <f>IF(Statements!J89,Assumptions!H23,"")</f>
        <v/>
      </c>
      <c r="K68" s="11" t="str">
        <f>IF(Statements!K89,Assumptions!I23,"")</f>
        <v/>
      </c>
      <c r="L68" s="11" t="str">
        <f>IF(Statements!L89,Assumptions!J23,"")</f>
        <v/>
      </c>
      <c r="M68" s="1"/>
      <c r="N68" s="5" t="s">
        <v>100</v>
      </c>
    </row>
    <row r="69" spans="1:14" ht="21.95" customHeight="1">
      <c r="A69" s="1"/>
      <c r="B69" s="20" t="s">
        <v>101</v>
      </c>
      <c r="C69" s="21"/>
      <c r="D69" s="23">
        <f>IF(COUNT(History!E35)=1,IF(TRUE,History!E35,""),"")</f>
        <v>-108488</v>
      </c>
      <c r="E69" s="23">
        <f>IF(COUNT(History!F35)=1,IF(TRUE,History!F35,""),"")</f>
        <v>-121983</v>
      </c>
      <c r="F69" s="23">
        <f>IF(COUNT(History!G35)=1,IF(TRUE,History!G35,""),"")</f>
        <v>-120686</v>
      </c>
      <c r="G69" s="21"/>
      <c r="H69" s="22" t="str">
        <f>IF(Statements!H89,Statements!H66-Statements!H67+Statements!H68,"")</f>
        <v/>
      </c>
      <c r="I69" s="22" t="str">
        <f>IF(Statements!I89,Statements!I66-Statements!I67+Statements!I68,"")</f>
        <v/>
      </c>
      <c r="J69" s="22" t="str">
        <f>IF(Statements!J89,Statements!J66-Statements!J67+Statements!J68,"")</f>
        <v/>
      </c>
      <c r="K69" s="22" t="str">
        <f>IF(Statements!K89,Statements!K66-Statements!K67+Statements!K68,"")</f>
        <v/>
      </c>
      <c r="L69" s="22" t="str">
        <f>IF(Statements!L89,Statements!L66-Statements!L67+Statements!L68,"")</f>
        <v/>
      </c>
      <c r="M69" s="1"/>
      <c r="N69" s="1"/>
    </row>
    <row r="70" spans="1:14" ht="32.1" customHeight="1">
      <c r="A70" s="1"/>
      <c r="B70" s="2" t="s">
        <v>102</v>
      </c>
      <c r="C70" s="1"/>
      <c r="D70" s="15">
        <f>IF(COUNT(Statements!D71,Statements!D62,Statements!D65,Statements!D69)=4,IF(TRUE,Statements!D71-Statements!D62-Statements!D65-Statements!D69,""),"")</f>
        <v>559</v>
      </c>
      <c r="E70" s="15">
        <f>IF(COUNT(Statements!E71,Statements!E62,Statements!E65,Statements!E69)=4,IF(TRUE,Statements!E71-Statements!E62-Statements!E65-Statements!E69,""),"")</f>
        <v>772</v>
      </c>
      <c r="F70" s="15">
        <f>IF(COUNT(Statements!F71,Statements!F62,Statements!F65,Statements!F69)=4,IF(TRUE,Statements!F71-Statements!F62-Statements!F65-Statements!F69,""),"")</f>
        <v>0</v>
      </c>
      <c r="G70" s="1"/>
      <c r="H70" s="15" t="str">
        <f>IF(Statements!H89,0,"")</f>
        <v/>
      </c>
      <c r="I70" s="15" t="str">
        <f>IF(Statements!I89,0,"")</f>
        <v/>
      </c>
      <c r="J70" s="15" t="str">
        <f>IF(Statements!J89,0,"")</f>
        <v/>
      </c>
      <c r="K70" s="15" t="str">
        <f>IF(Statements!K89,0,"")</f>
        <v/>
      </c>
      <c r="L70" s="15" t="str">
        <f>IF(Statements!L89,0,"")</f>
        <v/>
      </c>
      <c r="M70" s="1"/>
      <c r="N70" s="5" t="s">
        <v>103</v>
      </c>
    </row>
    <row r="71" spans="1:14" ht="21.95" customHeight="1">
      <c r="A71" s="1"/>
      <c r="B71" s="2" t="s">
        <v>104</v>
      </c>
      <c r="C71" s="1"/>
      <c r="D71" s="15">
        <f>IF(COUNT(Statements!D73,Statements!D72)=2,IF(TRUE,Statements!D73-Statements!D72,""),"")</f>
        <v>6319</v>
      </c>
      <c r="E71" s="15">
        <f>IF(COUNT(Statements!E73,Statements!E72)=2,IF(TRUE,Statements!E73-Statements!E72,""),"")</f>
        <v>-22</v>
      </c>
      <c r="F71" s="15">
        <f>IF(COUNT(Statements!F73,Statements!F72)=2,IF(TRUE,Statements!F73-Statements!F72,""),"")</f>
        <v>5991</v>
      </c>
      <c r="G71" s="1"/>
      <c r="H71" s="15" t="str">
        <f>IF(Statements!H89,Statements!H62+Statements!H65+Statements!H69,"")</f>
        <v/>
      </c>
      <c r="I71" s="15" t="str">
        <f>IF(Statements!I89,Statements!I62+Statements!I65+Statements!I69,"")</f>
        <v/>
      </c>
      <c r="J71" s="15" t="str">
        <f>IF(Statements!J89,Statements!J62+Statements!J65+Statements!J69,"")</f>
        <v/>
      </c>
      <c r="K71" s="15" t="str">
        <f>IF(Statements!K89,Statements!K62+Statements!K65+Statements!K69,"")</f>
        <v/>
      </c>
      <c r="L71" s="15" t="str">
        <f>IF(Statements!L89,Statements!L62+Statements!L65+Statements!L69,"")</f>
        <v/>
      </c>
      <c r="M71" s="1"/>
      <c r="N71" s="1"/>
    </row>
    <row r="72" spans="1:14" ht="21.95" customHeight="1">
      <c r="A72" s="1"/>
      <c r="B72" s="2" t="s">
        <v>105</v>
      </c>
      <c r="C72" s="1"/>
      <c r="D72" s="11">
        <f>IF(COUNT(History!D21)=1,IF(TRUE,History!D21,""),"")</f>
        <v>23646</v>
      </c>
      <c r="E72" s="11">
        <f>IF(COUNT(History!E21)=1,IF(TRUE,History!E21,""),"")</f>
        <v>29965</v>
      </c>
      <c r="F72" s="11">
        <f>IF(COUNT(History!F21)=1,IF(TRUE,History!F21,""),"")</f>
        <v>29943</v>
      </c>
      <c r="G72" s="1"/>
      <c r="H72" s="15" t="str">
        <f>IF(Statements!H89,Statements!F31,"")</f>
        <v/>
      </c>
      <c r="I72" s="15" t="str">
        <f>IF(Statements!I89,Statements!H31,"")</f>
        <v/>
      </c>
      <c r="J72" s="15" t="str">
        <f>IF(Statements!J89,Statements!I31,"")</f>
        <v/>
      </c>
      <c r="K72" s="15" t="str">
        <f>IF(Statements!K89,Statements!J31,"")</f>
        <v/>
      </c>
      <c r="L72" s="15" t="str">
        <f>IF(Statements!L89,Statements!K31,"")</f>
        <v/>
      </c>
      <c r="M72" s="1"/>
      <c r="N72" s="1"/>
    </row>
    <row r="73" spans="1:14" ht="21.95" customHeight="1">
      <c r="A73" s="1"/>
      <c r="B73" s="20" t="s">
        <v>106</v>
      </c>
      <c r="C73" s="21"/>
      <c r="D73" s="22">
        <f>IF(COUNT(Statements!D31)=1,IF(TRUE,Statements!D31,""),"")</f>
        <v>29965</v>
      </c>
      <c r="E73" s="22">
        <f>IF(COUNT(Statements!E31)=1,IF(TRUE,Statements!E31,""),"")</f>
        <v>29943</v>
      </c>
      <c r="F73" s="22">
        <f>IF(COUNT(Statements!F31)=1,IF(TRUE,Statements!F31,""),"")</f>
        <v>35934</v>
      </c>
      <c r="G73" s="21"/>
      <c r="H73" s="22" t="str">
        <f>IF(Statements!H89,Statements!H72+Statements!H71,"")</f>
        <v/>
      </c>
      <c r="I73" s="22" t="str">
        <f>IF(Statements!I89,Statements!I72+Statements!I71,"")</f>
        <v/>
      </c>
      <c r="J73" s="22" t="str">
        <f>IF(Statements!J89,Statements!J72+Statements!J71,"")</f>
        <v/>
      </c>
      <c r="K73" s="22" t="str">
        <f>IF(Statements!K89,Statements!K72+Statements!K71,"")</f>
        <v/>
      </c>
      <c r="L73" s="22" t="str">
        <f>IF(Statements!L89,Statements!L72+Statements!L71,"")</f>
        <v/>
      </c>
      <c r="M73" s="1"/>
      <c r="N73" s="1"/>
    </row>
    <row r="74" spans="1:14" ht="21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21.9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21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21.9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21.9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21.9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24.95" customHeight="1">
      <c r="A80" s="1"/>
      <c r="B80" s="32" t="s">
        <v>107</v>
      </c>
      <c r="C80" s="32" t="s">
        <v>107</v>
      </c>
      <c r="D80" s="32" t="s">
        <v>107</v>
      </c>
      <c r="E80" s="32" t="s">
        <v>107</v>
      </c>
      <c r="F80" s="32" t="s">
        <v>107</v>
      </c>
      <c r="G80" s="32" t="s">
        <v>107</v>
      </c>
      <c r="H80" s="32" t="s">
        <v>107</v>
      </c>
      <c r="I80" s="32" t="s">
        <v>107</v>
      </c>
      <c r="J80" s="32" t="s">
        <v>107</v>
      </c>
      <c r="K80" s="32" t="s">
        <v>107</v>
      </c>
      <c r="L80" s="32" t="s">
        <v>107</v>
      </c>
      <c r="M80" s="1"/>
      <c r="N80" s="1"/>
    </row>
    <row r="81" spans="1:14" ht="21.9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21.95" customHeight="1">
      <c r="A82" s="1"/>
      <c r="B82" s="2" t="s">
        <v>108</v>
      </c>
      <c r="C82" s="1"/>
      <c r="D82" s="1"/>
      <c r="E82" s="1"/>
      <c r="F82" s="1"/>
      <c r="G82" s="1"/>
      <c r="H82" s="15" t="str">
        <f>IF(Statements!H89,Statements!F34,"")</f>
        <v/>
      </c>
      <c r="I82" s="15" t="str">
        <f>IF(Statements!I89,Statements!H34,"")</f>
        <v/>
      </c>
      <c r="J82" s="15" t="str">
        <f>IF(Statements!J89,Statements!I34,"")</f>
        <v/>
      </c>
      <c r="K82" s="15" t="str">
        <f>IF(Statements!K89,Statements!J34,"")</f>
        <v/>
      </c>
      <c r="L82" s="15" t="str">
        <f>IF(Statements!L89,Statements!K34,"")</f>
        <v/>
      </c>
      <c r="M82" s="1"/>
      <c r="N82" s="1"/>
    </row>
    <row r="83" spans="1:14" ht="21.95" customHeight="1">
      <c r="A83" s="1"/>
      <c r="B83" s="2" t="s">
        <v>109</v>
      </c>
      <c r="C83" s="1"/>
      <c r="D83" s="1"/>
      <c r="E83" s="1"/>
      <c r="F83" s="1"/>
      <c r="G83" s="1"/>
      <c r="H83" s="15" t="str">
        <f>IF(Statements!H89,Statements!H63,"")</f>
        <v/>
      </c>
      <c r="I83" s="15" t="str">
        <f>IF(Statements!I89,Statements!I63,"")</f>
        <v/>
      </c>
      <c r="J83" s="15" t="str">
        <f>IF(Statements!J89,Statements!J63,"")</f>
        <v/>
      </c>
      <c r="K83" s="15" t="str">
        <f>IF(Statements!K89,Statements!K63,"")</f>
        <v/>
      </c>
      <c r="L83" s="15" t="str">
        <f>IF(Statements!L89,Statements!L63,"")</f>
        <v/>
      </c>
      <c r="M83" s="1"/>
      <c r="N83" s="1"/>
    </row>
    <row r="84" spans="1:14" ht="21.95" customHeight="1">
      <c r="A84" s="1"/>
      <c r="B84" s="2" t="s">
        <v>110</v>
      </c>
      <c r="C84" s="1"/>
      <c r="D84" s="1"/>
      <c r="E84" s="1"/>
      <c r="F84" s="1"/>
      <c r="G84" s="1"/>
      <c r="H84" s="15" t="str">
        <f>IF(Statements!H89,Statements!H14,"")</f>
        <v/>
      </c>
      <c r="I84" s="15" t="str">
        <f>IF(Statements!I89,Statements!I14,"")</f>
        <v/>
      </c>
      <c r="J84" s="15" t="str">
        <f>IF(Statements!J89,Statements!J14,"")</f>
        <v/>
      </c>
      <c r="K84" s="15" t="str">
        <f>IF(Statements!K89,Statements!K14,"")</f>
        <v/>
      </c>
      <c r="L84" s="15" t="str">
        <f>IF(Statements!L89,Statements!L14,"")</f>
        <v/>
      </c>
      <c r="M84" s="1"/>
      <c r="N84" s="1"/>
    </row>
    <row r="85" spans="1:14" ht="21.95" customHeight="1">
      <c r="A85" s="1"/>
      <c r="B85" s="2" t="s">
        <v>111</v>
      </c>
      <c r="C85" s="1"/>
      <c r="D85" s="1"/>
      <c r="E85" s="1"/>
      <c r="F85" s="1"/>
      <c r="G85" s="1"/>
      <c r="H85" s="15" t="str">
        <f>IF(Statements!H89,Statements!H34,"")</f>
        <v/>
      </c>
      <c r="I85" s="15" t="str">
        <f>IF(Statements!I89,Statements!I34,"")</f>
        <v/>
      </c>
      <c r="J85" s="15" t="str">
        <f>IF(Statements!J89,Statements!J34,"")</f>
        <v/>
      </c>
      <c r="K85" s="15" t="str">
        <f>IF(Statements!K89,Statements!K34,"")</f>
        <v/>
      </c>
      <c r="L85" s="15" t="str">
        <f>IF(Statements!L89,Statements!L34,"")</f>
        <v/>
      </c>
      <c r="M85" s="1"/>
      <c r="N85" s="1"/>
    </row>
    <row r="86" spans="1:14" ht="32.1" customHeight="1">
      <c r="A86" s="1"/>
      <c r="B86" s="2" t="s">
        <v>112</v>
      </c>
      <c r="C86" s="1"/>
      <c r="D86" s="15">
        <f>IF(COUNT(Statements!D32,Statements!D33,Statements!D38)=3,IF(TRUE,Statements!D32+Statements!D33-Statements!D38,""),"")</f>
        <v>-26772</v>
      </c>
      <c r="E86" s="15">
        <f>IF(COUNT(Statements!E32,Statements!E33,Statements!E38)=3,IF(TRUE,Statements!E32+Statements!E33-Statements!E38,""),"")</f>
        <v>-28264</v>
      </c>
      <c r="F86" s="15">
        <f>IF(COUNT(Statements!F32,Statements!F33,Statements!F38)=3,IF(TRUE,Statements!F32+Statements!F33-Statements!F38,""),"")</f>
        <v>-24365</v>
      </c>
      <c r="G86" s="1"/>
      <c r="H86" s="15" t="str">
        <f>IF(Statements!H89,Statements!H32+Statements!H33-Statements!H38,"")</f>
        <v/>
      </c>
      <c r="I86" s="15" t="str">
        <f>IF(Statements!I89,Statements!I32+Statements!I33-Statements!I38,"")</f>
        <v/>
      </c>
      <c r="J86" s="15" t="str">
        <f>IF(Statements!J89,Statements!J32+Statements!J33-Statements!J38,"")</f>
        <v/>
      </c>
      <c r="K86" s="15" t="str">
        <f>IF(Statements!K89,Statements!K32+Statements!K33-Statements!K38,"")</f>
        <v/>
      </c>
      <c r="L86" s="15" t="str">
        <f>IF(Statements!L89,Statements!L32+Statements!L33-Statements!L38,"")</f>
        <v/>
      </c>
      <c r="M86" s="1"/>
      <c r="N86" s="5" t="s">
        <v>113</v>
      </c>
    </row>
    <row r="87" spans="1:14" ht="21.95" customHeight="1">
      <c r="A87" s="1"/>
      <c r="B87" s="2" t="s">
        <v>114</v>
      </c>
      <c r="C87" s="1"/>
      <c r="D87" s="1"/>
      <c r="E87" s="1"/>
      <c r="F87" s="1"/>
      <c r="G87" s="1"/>
      <c r="H87" s="15" t="str">
        <f>IF(Statements!H89,Statements!F39,"")</f>
        <v/>
      </c>
      <c r="I87" s="15" t="str">
        <f>IF(Statements!I89,Statements!H39,"")</f>
        <v/>
      </c>
      <c r="J87" s="15" t="str">
        <f>IF(Statements!J89,Statements!I39,"")</f>
        <v/>
      </c>
      <c r="K87" s="15" t="str">
        <f>IF(Statements!K89,Statements!J39,"")</f>
        <v/>
      </c>
      <c r="L87" s="15" t="str">
        <f>IF(Statements!L89,Statements!K39,"")</f>
        <v/>
      </c>
      <c r="M87" s="1"/>
      <c r="N87" s="1"/>
    </row>
    <row r="88" spans="1:14" ht="21.95" customHeight="1">
      <c r="A88" s="1"/>
      <c r="B88" s="2" t="s">
        <v>115</v>
      </c>
      <c r="C88" s="1"/>
      <c r="D88" s="1"/>
      <c r="E88" s="1"/>
      <c r="F88" s="1"/>
      <c r="G88" s="1"/>
      <c r="H88" s="18" t="b">
        <f>IF(COUNT(Assumptions!F9,Assumptions!F10,Assumptions!F11,Assumptions!F12,Assumptions!F13,Assumptions!F14,Assumptions!F15,Assumptions!F16,Assumptions!F17,Assumptions!F18,Assumptions!F19,Assumptions!F20,Assumptions!F21,Assumptions!F22,Assumptions!F23)=15,AND(Assumptions!F9&gt;-1,Assumptions!F10&lt;=1,Assumptions!F11&lt;=Assumptions!F10,Assumptions!F12&gt;=0,Assumptions!F12&lt;=1,Assumptions!F13&gt;=0,Assumptions!F14&gt;=0,Assumptions!F15&gt;=0,Assumptions!F16&gt;=0,Assumptions!F17&gt;=0,Assumptions!F18&gt;=0,Assumptions!F19&gt;=0,Assumptions!F20&gt;=0,Assumptions!F21&gt;=0,Assumptions!F17&lt;=1,Assumptions!F19&lt;=1,Assumptions!F21&lt;=1),FALSE)</f>
        <v>0</v>
      </c>
      <c r="I88" s="18" t="b">
        <f>IF(COUNT(Assumptions!G9,Assumptions!G10,Assumptions!G11,Assumptions!G12,Assumptions!G13,Assumptions!G14,Assumptions!G15,Assumptions!G16,Assumptions!G17,Assumptions!G18,Assumptions!G19,Assumptions!G20,Assumptions!G21,Assumptions!G22,Assumptions!G23)=15,AND(Assumptions!G9&gt;-1,Assumptions!G10&lt;=1,Assumptions!G11&lt;=Assumptions!G10,Assumptions!G12&gt;=0,Assumptions!G12&lt;=1,Assumptions!G13&gt;=0,Assumptions!G14&gt;=0,Assumptions!G15&gt;=0,Assumptions!G16&gt;=0,Assumptions!G17&gt;=0,Assumptions!G18&gt;=0,Assumptions!G19&gt;=0,Assumptions!G20&gt;=0,Assumptions!G21&gt;=0,Assumptions!G17&lt;=1,Assumptions!G19&lt;=1,Assumptions!G21&lt;=1),FALSE)</f>
        <v>0</v>
      </c>
      <c r="J88" s="18" t="b">
        <f>IF(COUNT(Assumptions!H9,Assumptions!H10,Assumptions!H11,Assumptions!H12,Assumptions!H13,Assumptions!H14,Assumptions!H15,Assumptions!H16,Assumptions!H17,Assumptions!H18,Assumptions!H19,Assumptions!H20,Assumptions!H21,Assumptions!H22,Assumptions!H23)=15,AND(Assumptions!H9&gt;-1,Assumptions!H10&lt;=1,Assumptions!H11&lt;=Assumptions!H10,Assumptions!H12&gt;=0,Assumptions!H12&lt;=1,Assumptions!H13&gt;=0,Assumptions!H14&gt;=0,Assumptions!H15&gt;=0,Assumptions!H16&gt;=0,Assumptions!H17&gt;=0,Assumptions!H18&gt;=0,Assumptions!H19&gt;=0,Assumptions!H20&gt;=0,Assumptions!H21&gt;=0,Assumptions!H17&lt;=1,Assumptions!H19&lt;=1,Assumptions!H21&lt;=1),FALSE)</f>
        <v>0</v>
      </c>
      <c r="K88" s="18" t="b">
        <f>IF(COUNT(Assumptions!I9,Assumptions!I10,Assumptions!I11,Assumptions!I12,Assumptions!I13,Assumptions!I14,Assumptions!I15,Assumptions!I16,Assumptions!I17,Assumptions!I18,Assumptions!I19,Assumptions!I20,Assumptions!I21,Assumptions!I22,Assumptions!I23)=15,AND(Assumptions!I9&gt;-1,Assumptions!I10&lt;=1,Assumptions!I11&lt;=Assumptions!I10,Assumptions!I12&gt;=0,Assumptions!I12&lt;=1,Assumptions!I13&gt;=0,Assumptions!I14&gt;=0,Assumptions!I15&gt;=0,Assumptions!I16&gt;=0,Assumptions!I17&gt;=0,Assumptions!I18&gt;=0,Assumptions!I19&gt;=0,Assumptions!I20&gt;=0,Assumptions!I21&gt;=0,Assumptions!I17&lt;=1,Assumptions!I19&lt;=1,Assumptions!I21&lt;=1),FALSE)</f>
        <v>0</v>
      </c>
      <c r="L88" s="18" t="b">
        <f>IF(COUNT(Assumptions!J9,Assumptions!J10,Assumptions!J11,Assumptions!J12,Assumptions!J13,Assumptions!J14,Assumptions!J15,Assumptions!J16,Assumptions!J17,Assumptions!J18,Assumptions!J19,Assumptions!J20,Assumptions!J21,Assumptions!J22,Assumptions!J23)=15,AND(Assumptions!J9&gt;-1,Assumptions!J10&lt;=1,Assumptions!J11&lt;=Assumptions!J10,Assumptions!J12&gt;=0,Assumptions!J12&lt;=1,Assumptions!J13&gt;=0,Assumptions!J14&gt;=0,Assumptions!J15&gt;=0,Assumptions!J16&gt;=0,Assumptions!J17&gt;=0,Assumptions!J18&gt;=0,Assumptions!J19&gt;=0,Assumptions!J20&gt;=0,Assumptions!J21&gt;=0,Assumptions!J17&lt;=1,Assumptions!J19&lt;=1,Assumptions!J21&lt;=1),FALSE)</f>
        <v>0</v>
      </c>
      <c r="M88" s="1"/>
      <c r="N88" s="1"/>
    </row>
    <row r="89" spans="1:14" ht="21.95" customHeight="1">
      <c r="A89" s="1"/>
      <c r="B89" s="2" t="s">
        <v>116</v>
      </c>
      <c r="C89" s="1"/>
      <c r="D89" s="1"/>
      <c r="E89" s="1"/>
      <c r="F89" s="1"/>
      <c r="G89" s="1"/>
      <c r="H89" s="19" t="b">
        <f>IF(AND(Statements!H88,COUNT(Statements!F9,Statements!F31,Statements!F34,Statements!F35,Statements!F36,Statements!F39,Statements!F40,Statements!F42,Statements!F43,Statements!F86)=10),AND(Statements!F9&gt;0,Statements!F34&gt;=0,Statements!F35&gt;=0,Statements!F39&gt;=0,Statements!F40&gt;=0,ABS(Statements!F36-Statements!F43)&lt;=0.5),FALSE)</f>
        <v>0</v>
      </c>
      <c r="I89" s="19" t="b">
        <f>IF(AND(Statements!I88,COUNT(Statements!H9,Statements!H31,Statements!H34,Statements!H35,Statements!H36,Statements!H39,Statements!H40,Statements!H42,Statements!H43,Statements!H86)=10),AND(Statements!H9&gt;0,Statements!H34&gt;=0,Statements!H35&gt;=0,Statements!H39&gt;=0,Statements!H40&gt;=0,ABS(Statements!H36-Statements!H43)&lt;=0.5),FALSE)</f>
        <v>0</v>
      </c>
      <c r="J89" s="19" t="b">
        <f>IF(AND(Statements!J88,COUNT(Statements!I9,Statements!I31,Statements!I34,Statements!I35,Statements!I36,Statements!I39,Statements!I40,Statements!I42,Statements!I43,Statements!I86)=10),AND(Statements!I9&gt;0,Statements!I34&gt;=0,Statements!I35&gt;=0,Statements!I39&gt;=0,Statements!I40&gt;=0,ABS(Statements!I36-Statements!I43)&lt;=0.5),FALSE)</f>
        <v>0</v>
      </c>
      <c r="K89" s="19" t="b">
        <f>IF(AND(Statements!K88,COUNT(Statements!J9,Statements!J31,Statements!J34,Statements!J35,Statements!J36,Statements!J39,Statements!J40,Statements!J42,Statements!J43,Statements!J86)=10),AND(Statements!J9&gt;0,Statements!J34&gt;=0,Statements!J35&gt;=0,Statements!J39&gt;=0,Statements!J40&gt;=0,ABS(Statements!J36-Statements!J43)&lt;=0.5),FALSE)</f>
        <v>0</v>
      </c>
      <c r="L89" s="19" t="b">
        <f>IF(AND(Statements!L88,COUNT(Statements!K9,Statements!K31,Statements!K34,Statements!K35,Statements!K36,Statements!K39,Statements!K40,Statements!K42,Statements!K43,Statements!K86)=10),AND(Statements!K9&gt;0,Statements!K34&gt;=0,Statements!K35&gt;=0,Statements!K39&gt;=0,Statements!K40&gt;=0,ABS(Statements!K36-Statements!K43)&lt;=0.5),FALSE)</f>
        <v>0</v>
      </c>
      <c r="M89" s="1"/>
      <c r="N89" s="1"/>
    </row>
    <row r="90" spans="1:14" ht="21.95" customHeight="1">
      <c r="A90" s="1"/>
      <c r="B90" s="2" t="s">
        <v>117</v>
      </c>
      <c r="C90" s="1"/>
      <c r="D90" s="1"/>
      <c r="E90" s="1"/>
      <c r="F90" s="1"/>
      <c r="G90" s="1"/>
      <c r="H90" s="15" t="str">
        <f>IF(Statements!H89,Statements!H39,"")</f>
        <v/>
      </c>
      <c r="I90" s="15" t="str">
        <f>IF(Statements!I89,Statements!I39,"")</f>
        <v/>
      </c>
      <c r="J90" s="15" t="str">
        <f>IF(Statements!J89,Statements!J39,"")</f>
        <v/>
      </c>
      <c r="K90" s="15" t="str">
        <f>IF(Statements!K89,Statements!K39,"")</f>
        <v/>
      </c>
      <c r="L90" s="15" t="str">
        <f>IF(Statements!L89,Statements!L39,"")</f>
        <v/>
      </c>
      <c r="M90" s="1"/>
      <c r="N90" s="1"/>
    </row>
    <row r="91" spans="1:14" ht="21.9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21.9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21.9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21.9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21.9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21.9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21.9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21.9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21.9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21.9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21.9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21.9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21.9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21.9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24.95" customHeight="1">
      <c r="A105" s="1"/>
      <c r="B105" s="32" t="s">
        <v>118</v>
      </c>
      <c r="C105" s="32" t="s">
        <v>118</v>
      </c>
      <c r="D105" s="32" t="s">
        <v>118</v>
      </c>
      <c r="E105" s="32" t="s">
        <v>118</v>
      </c>
      <c r="F105" s="32" t="s">
        <v>118</v>
      </c>
      <c r="G105" s="32" t="s">
        <v>118</v>
      </c>
      <c r="H105" s="32" t="s">
        <v>118</v>
      </c>
      <c r="I105" s="32" t="s">
        <v>118</v>
      </c>
      <c r="J105" s="32" t="s">
        <v>118</v>
      </c>
      <c r="K105" s="32" t="s">
        <v>118</v>
      </c>
      <c r="L105" s="32" t="s">
        <v>118</v>
      </c>
      <c r="M105" s="1"/>
      <c r="N105" s="1"/>
    </row>
    <row r="106" spans="1:14" ht="21.9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32.1" customHeight="1">
      <c r="A107" s="1"/>
      <c r="B107" s="2" t="s">
        <v>119</v>
      </c>
      <c r="C107" s="1"/>
      <c r="D107" s="15">
        <f>IF(COUNT(Statements!D36,Statements!D43)=2,IF(TRUE,Statements!D36-Statements!D43,""),"")</f>
        <v>0</v>
      </c>
      <c r="E107" s="15">
        <f>IF(COUNT(Statements!E36,Statements!E43)=2,IF(TRUE,Statements!E36-Statements!E43,""),"")</f>
        <v>0</v>
      </c>
      <c r="F107" s="15">
        <f>IF(COUNT(Statements!F36,Statements!F43)=2,IF(TRUE,Statements!F36-Statements!F43,""),"")</f>
        <v>0</v>
      </c>
      <c r="G107" s="1"/>
      <c r="H107" s="15" t="str">
        <f>IF(COUNT(Statements!H36,Statements!H43)=2,IF(TRUE,Statements!H36-Statements!H43,""),"")</f>
        <v/>
      </c>
      <c r="I107" s="15" t="str">
        <f>IF(COUNT(Statements!I36,Statements!I43)=2,IF(TRUE,Statements!I36-Statements!I43,""),"")</f>
        <v/>
      </c>
      <c r="J107" s="15" t="str">
        <f>IF(COUNT(Statements!J36,Statements!J43)=2,IF(TRUE,Statements!J36-Statements!J43,""),"")</f>
        <v/>
      </c>
      <c r="K107" s="15" t="str">
        <f>IF(COUNT(Statements!K36,Statements!K43)=2,IF(TRUE,Statements!K36-Statements!K43,""),"")</f>
        <v/>
      </c>
      <c r="L107" s="15" t="str">
        <f>IF(COUNT(Statements!L36,Statements!L43)=2,IF(TRUE,Statements!L36-Statements!L43,""),"")</f>
        <v/>
      </c>
      <c r="M107" s="1"/>
      <c r="N107" s="5" t="s">
        <v>120</v>
      </c>
    </row>
    <row r="108" spans="1:14" ht="21.95" customHeight="1">
      <c r="A108" s="1"/>
      <c r="B108" s="2" t="s">
        <v>121</v>
      </c>
      <c r="C108" s="1"/>
      <c r="D108" s="15">
        <f>IF(COUNT(Statements!D17,Statements!D18,Statements!D19)=3,IF(TRUE,Statements!D17-Statements!D18-Statements!D19,""),"")</f>
        <v>0</v>
      </c>
      <c r="E108" s="15">
        <f>IF(COUNT(Statements!E17,Statements!E18,Statements!E19)=3,IF(TRUE,Statements!E17-Statements!E18-Statements!E19,""),"")</f>
        <v>0</v>
      </c>
      <c r="F108" s="15">
        <f>IF(COUNT(Statements!F17,Statements!F18,Statements!F19)=3,IF(TRUE,Statements!F17-Statements!F18-Statements!F19,""),"")</f>
        <v>0</v>
      </c>
      <c r="G108" s="1"/>
      <c r="H108" s="15" t="str">
        <f>IF(COUNT(Statements!H17,Statements!H18,Statements!H19)=3,IF(TRUE,Statements!H17-Statements!H18-Statements!H19,""),"")</f>
        <v/>
      </c>
      <c r="I108" s="15" t="str">
        <f>IF(COUNT(Statements!I17,Statements!I18,Statements!I19)=3,IF(TRUE,Statements!I17-Statements!I18-Statements!I19,""),"")</f>
        <v/>
      </c>
      <c r="J108" s="15" t="str">
        <f>IF(COUNT(Statements!J17,Statements!J18,Statements!J19)=3,IF(TRUE,Statements!J17-Statements!J18-Statements!J19,""),"")</f>
        <v/>
      </c>
      <c r="K108" s="15" t="str">
        <f>IF(COUNT(Statements!K17,Statements!K18,Statements!K19)=3,IF(TRUE,Statements!K17-Statements!K18-Statements!K19,""),"")</f>
        <v/>
      </c>
      <c r="L108" s="15" t="str">
        <f>IF(COUNT(Statements!L17,Statements!L18,Statements!L19)=3,IF(TRUE,Statements!L17-Statements!L18-Statements!L19,""),"")</f>
        <v/>
      </c>
      <c r="M108" s="1"/>
      <c r="N108" s="1"/>
    </row>
    <row r="109" spans="1:14" ht="21.95" customHeight="1">
      <c r="A109" s="1"/>
      <c r="B109" s="2" t="s">
        <v>122</v>
      </c>
      <c r="C109" s="1"/>
      <c r="D109" s="15">
        <f>IF(COUNT(Statements!D72,Statements!D62,Statements!D65,Statements!D69,Statements!D70,Statements!D73)=6,IF(TRUE,Statements!D72+Statements!D62+Statements!D65+Statements!D69+Statements!D70-Statements!D73,""),"")</f>
        <v>0</v>
      </c>
      <c r="E109" s="15">
        <f>IF(COUNT(Statements!E72,Statements!E62,Statements!E65,Statements!E69,Statements!E70,Statements!E73)=6,IF(TRUE,Statements!E72+Statements!E62+Statements!E65+Statements!E69+Statements!E70-Statements!E73,""),"")</f>
        <v>0</v>
      </c>
      <c r="F109" s="15">
        <f>IF(COUNT(Statements!F72,Statements!F62,Statements!F65,Statements!F69,Statements!F70,Statements!F73)=6,IF(TRUE,Statements!F72+Statements!F62+Statements!F65+Statements!F69+Statements!F70-Statements!F73,""),"")</f>
        <v>0</v>
      </c>
      <c r="G109" s="1"/>
      <c r="H109" s="15" t="str">
        <f>IF(COUNT(Statements!H72,Statements!H62,Statements!H65,Statements!H69,Statements!H70,Statements!H73)=6,IF(TRUE,Statements!H72+Statements!H62+Statements!H65+Statements!H69+Statements!H70-Statements!H73,""),"")</f>
        <v/>
      </c>
      <c r="I109" s="15" t="str">
        <f>IF(COUNT(Statements!I72,Statements!I62,Statements!I65,Statements!I69,Statements!I70,Statements!I73)=6,IF(TRUE,Statements!I72+Statements!I62+Statements!I65+Statements!I69+Statements!I70-Statements!I73,""),"")</f>
        <v/>
      </c>
      <c r="J109" s="15" t="str">
        <f>IF(COUNT(Statements!J72,Statements!J62,Statements!J65,Statements!J69,Statements!J70,Statements!J73)=6,IF(TRUE,Statements!J72+Statements!J62+Statements!J65+Statements!J69+Statements!J70-Statements!J73,""),"")</f>
        <v/>
      </c>
      <c r="K109" s="15" t="str">
        <f>IF(COUNT(Statements!K72,Statements!K62,Statements!K65,Statements!K69,Statements!K70,Statements!K73)=6,IF(TRUE,Statements!K72+Statements!K62+Statements!K65+Statements!K69+Statements!K70-Statements!K73,""),"")</f>
        <v/>
      </c>
      <c r="L109" s="15" t="str">
        <f>IF(COUNT(Statements!L72,Statements!L62,Statements!L65,Statements!L69,Statements!L70,Statements!L73)=6,IF(TRUE,Statements!L72+Statements!L62+Statements!L65+Statements!L69+Statements!L70-Statements!L73,""),"")</f>
        <v/>
      </c>
      <c r="M109" s="1"/>
      <c r="N109" s="1"/>
    </row>
    <row r="110" spans="1:14" ht="21.95" customHeight="1">
      <c r="A110" s="1"/>
      <c r="B110" s="2" t="s">
        <v>123</v>
      </c>
      <c r="C110" s="1"/>
      <c r="D110" s="19" t="str">
        <f>IF(ISNUMBER(Statements!D31),IF(Statements!D31&lt;0,"Funding needed","Cash is non-negative"),"Inputs needed")</f>
        <v>Cash is non-negative</v>
      </c>
      <c r="E110" s="19" t="str">
        <f>IF(ISNUMBER(Statements!E31),IF(Statements!E31&lt;0,"Funding needed","Cash is non-negative"),"Inputs needed")</f>
        <v>Cash is non-negative</v>
      </c>
      <c r="F110" s="19" t="str">
        <f>IF(ISNUMBER(Statements!F31),IF(Statements!F31&lt;0,"Funding needed","Cash is non-negative"),"Inputs needed")</f>
        <v>Cash is non-negative</v>
      </c>
      <c r="G110" s="1"/>
      <c r="H110" s="19" t="str">
        <f>IF(ISNUMBER(Statements!H31),IF(Statements!H31&lt;0,"Funding needed","Cash is non-negative"),"Inputs needed")</f>
        <v>Inputs needed</v>
      </c>
      <c r="I110" s="19" t="str">
        <f>IF(ISNUMBER(Statements!I31),IF(Statements!I31&lt;0,"Funding needed","Cash is non-negative"),"Inputs needed")</f>
        <v>Inputs needed</v>
      </c>
      <c r="J110" s="19" t="str">
        <f>IF(ISNUMBER(Statements!J31),IF(Statements!J31&lt;0,"Funding needed","Cash is non-negative"),"Inputs needed")</f>
        <v>Inputs needed</v>
      </c>
      <c r="K110" s="19" t="str">
        <f>IF(ISNUMBER(Statements!K31),IF(Statements!K31&lt;0,"Funding needed","Cash is non-negative"),"Inputs needed")</f>
        <v>Inputs needed</v>
      </c>
      <c r="L110" s="19" t="str">
        <f>IF(ISNUMBER(Statements!L31),IF(Statements!L31&lt;0,"Funding needed","Cash is non-negative"),"Inputs needed")</f>
        <v>Inputs needed</v>
      </c>
      <c r="M110" s="1"/>
      <c r="N110" s="1"/>
    </row>
    <row r="111" spans="1:14" ht="21.9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21.9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21.9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21.9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21.9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21.9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21.9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21.9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24.95" customHeight="1">
      <c r="A119" s="1"/>
      <c r="B119" s="32" t="s">
        <v>124</v>
      </c>
      <c r="C119" s="32" t="s">
        <v>124</v>
      </c>
      <c r="D119" s="32" t="s">
        <v>124</v>
      </c>
      <c r="E119" s="32" t="s">
        <v>124</v>
      </c>
      <c r="F119" s="32" t="s">
        <v>124</v>
      </c>
      <c r="G119" s="32" t="s">
        <v>124</v>
      </c>
      <c r="H119" s="32" t="s">
        <v>124</v>
      </c>
      <c r="I119" s="32" t="s">
        <v>124</v>
      </c>
      <c r="J119" s="32" t="s">
        <v>124</v>
      </c>
      <c r="K119" s="32" t="s">
        <v>124</v>
      </c>
      <c r="L119" s="32" t="s">
        <v>124</v>
      </c>
      <c r="M119" s="1"/>
      <c r="N119" s="1"/>
    </row>
    <row r="120" spans="1:14" ht="21.95" customHeight="1">
      <c r="A120" s="1"/>
      <c r="B120" s="2" t="s">
        <v>6</v>
      </c>
      <c r="C120" s="1"/>
      <c r="D120" s="7">
        <f>IF(COUNT(Statements!D9,History!D9)=2,IF(History!D9&gt;0,Statements!D9/History!D9-1,""),"")</f>
        <v>-2.800460530319937E-2</v>
      </c>
      <c r="E120" s="7">
        <f>IF(COUNT(Statements!E9,History!E9)=2,IF(History!E9&gt;0,Statements!E9/History!E9-1,""),"")</f>
        <v>2.021994077514111E-2</v>
      </c>
      <c r="F120" s="7">
        <f>IF(COUNT(Statements!F9,History!F9)=2,IF(History!F9&gt;0,Statements!F9/History!F9-1,""),"")</f>
        <v>6.425511782832749E-2</v>
      </c>
      <c r="G120" s="1"/>
      <c r="H120" s="1"/>
      <c r="I120" s="1"/>
      <c r="J120" s="1"/>
      <c r="K120" s="1"/>
      <c r="L120" s="1"/>
      <c r="M120" s="1"/>
      <c r="N120" s="1"/>
    </row>
    <row r="121" spans="1:14" ht="21.95" customHeight="1">
      <c r="A121" s="1"/>
      <c r="B121" s="2" t="s">
        <v>8</v>
      </c>
      <c r="C121" s="1"/>
      <c r="D121" s="16">
        <f>IF(COUNT(Statements!D11,Statements!D9)=2,IF(Statements!D9&gt;0,Statements!D11/Statements!D9,""),"")</f>
        <v>0.44131129577207562</v>
      </c>
      <c r="E121" s="16">
        <f>IF(COUNT(Statements!E11,Statements!E9)=2,IF(Statements!E9&gt;0,Statements!E11/Statements!E9,""),"")</f>
        <v>0.46206349815233932</v>
      </c>
      <c r="F121" s="16">
        <f>IF(COUNT(Statements!F11,Statements!F9)=2,IF(Statements!F9&gt;0,Statements!F11/Statements!F9,""),"")</f>
        <v>0.46905164107160452</v>
      </c>
      <c r="G121" s="1"/>
      <c r="H121" s="1"/>
      <c r="I121" s="1"/>
      <c r="J121" s="1"/>
      <c r="K121" s="1"/>
      <c r="L121" s="1"/>
      <c r="M121" s="1"/>
      <c r="N121" s="1"/>
    </row>
    <row r="122" spans="1:14" ht="21.95" customHeight="1">
      <c r="A122" s="1"/>
      <c r="B122" s="2" t="s">
        <v>10</v>
      </c>
      <c r="C122" s="1"/>
      <c r="D122" s="16">
        <f>IF(COUNT(Statements!D13,Statements!D9)=2,IF(Statements!D9&gt;0,Statements!D13/Statements!D9,""),"")</f>
        <v>0.32826747720364741</v>
      </c>
      <c r="E122" s="16">
        <f>IF(COUNT(Statements!E13,Statements!E9)=2,IF(Statements!E9&gt;0,Statements!E13/Statements!E9,""),"")</f>
        <v>0.34437070850435381</v>
      </c>
      <c r="F122" s="16">
        <f>IF(COUNT(Statements!F13,Statements!F9)=2,IF(Statements!F9&gt;0,Statements!F13/Statements!F9,""),"")</f>
        <v>0.34781731108873731</v>
      </c>
      <c r="G122" s="1"/>
      <c r="H122" s="1"/>
      <c r="I122" s="1"/>
      <c r="J122" s="1"/>
      <c r="K122" s="1"/>
      <c r="L122" s="1"/>
      <c r="M122" s="1"/>
      <c r="N122" s="1"/>
    </row>
    <row r="123" spans="1:14" ht="21.95" customHeight="1">
      <c r="A123" s="1"/>
      <c r="B123" s="2" t="s">
        <v>12</v>
      </c>
      <c r="C123" s="1"/>
      <c r="D123" s="16">
        <f>IF(COUNT(Statements!D18,Statements!D17)=2,IF(Statements!D17&gt;0,Statements!D18/Statements!D17,""),"")</f>
        <v>0.14719174228036858</v>
      </c>
      <c r="E123" s="16">
        <f>IF(COUNT(Statements!E18,Statements!E17)=2,IF(Statements!E17&gt;0,Statements!E18/Statements!E17,""),"")</f>
        <v>0.24091185164189982</v>
      </c>
      <c r="F123" s="16">
        <f>IF(COUNT(Statements!F18,Statements!F17)=2,IF(Statements!F17&gt;0,Statements!F18/Statements!F17,""),"")</f>
        <v>0.15610002335586043</v>
      </c>
      <c r="G123" s="1"/>
      <c r="H123" s="1"/>
      <c r="I123" s="1"/>
      <c r="J123" s="1"/>
      <c r="K123" s="1"/>
      <c r="L123" s="1"/>
      <c r="M123" s="1"/>
      <c r="N123" s="1"/>
    </row>
    <row r="124" spans="1:14" ht="21.95" customHeight="1">
      <c r="A124" s="1"/>
      <c r="B124" s="2" t="s">
        <v>14</v>
      </c>
      <c r="C124" s="1"/>
      <c r="D124" s="17">
        <f>IF(COUNT(Statements!D32,Statements!D9)=2,IF(Statements!D9&gt;0,Statements!D32/Statements!D9*365,""),"")</f>
        <v>28.100290906244702</v>
      </c>
      <c r="E124" s="17">
        <f>IF(COUNT(Statements!E32,Statements!E9)=2,IF(Statements!E9&gt;0,Statements!E32/Statements!E9*365,""),"")</f>
        <v>31.185571624023428</v>
      </c>
      <c r="F124" s="17">
        <f>IF(COUNT(Statements!F32,Statements!F9)=2,IF(Statements!F9&gt;0,Statements!F32/Statements!F9*365,""),"")</f>
        <v>34.886990852098108</v>
      </c>
      <c r="G124" s="1"/>
      <c r="H124" s="1"/>
      <c r="I124" s="1"/>
      <c r="J124" s="1"/>
      <c r="K124" s="1"/>
      <c r="L124" s="1"/>
      <c r="M124" s="1"/>
      <c r="N124" s="1"/>
    </row>
    <row r="125" spans="1:14" ht="21.95" customHeight="1">
      <c r="A125" s="1"/>
      <c r="B125" s="2" t="s">
        <v>16</v>
      </c>
      <c r="C125" s="1"/>
      <c r="D125" s="17">
        <f>IF(COUNT(Statements!D33,Statements!D10)=2,IF(Statements!D10&gt;0,Statements!D33/Statements!D10*365,""),"")</f>
        <v>10.791292490321617</v>
      </c>
      <c r="E125" s="17">
        <f>IF(COUNT(Statements!E33,Statements!E10)=2,IF(Statements!E10&gt;0,Statements!E33/Statements!E10*365,""),"")</f>
        <v>12.642570548414087</v>
      </c>
      <c r="F125" s="17">
        <f>IF(COUNT(Statements!F33,Statements!F10)=2,IF(Statements!F10&gt;0,Statements!F33/Statements!F10*365,""),"")</f>
        <v>9.4454652425778427</v>
      </c>
      <c r="G125" s="1"/>
      <c r="H125" s="1"/>
      <c r="I125" s="1"/>
      <c r="J125" s="1"/>
      <c r="K125" s="1"/>
      <c r="L125" s="1"/>
      <c r="M125" s="1"/>
      <c r="N125" s="1"/>
    </row>
    <row r="126" spans="1:14" ht="21.95" customHeight="1">
      <c r="A126" s="1"/>
      <c r="B126" s="2" t="s">
        <v>18</v>
      </c>
      <c r="C126" s="1"/>
      <c r="D126" s="17">
        <f>IF(COUNT(Statements!D38,Statements!D10)=2,IF(Statements!D10&gt;0,Statements!D38/Statements!D10*365,""),"")</f>
        <v>106.72146803214764</v>
      </c>
      <c r="E126" s="17">
        <f>IF(COUNT(Statements!E38,Statements!E10)=2,IF(Statements!E10&gt;0,Statements!E38/Statements!E10*365,""),"")</f>
        <v>119.65847721913744</v>
      </c>
      <c r="F126" s="17">
        <f>IF(COUNT(Statements!F38,Statements!F10)=2,IF(Statements!F10&gt;0,Statements!F38/Statements!F10*365,""),"")</f>
        <v>115.40052498189718</v>
      </c>
      <c r="G126" s="1"/>
      <c r="H126" s="1"/>
      <c r="I126" s="1"/>
      <c r="J126" s="1"/>
      <c r="K126" s="1"/>
      <c r="L126" s="1"/>
      <c r="M126" s="1"/>
      <c r="N126" s="1"/>
    </row>
    <row r="127" spans="1:14" ht="21.95" customHeight="1">
      <c r="A127" s="1"/>
      <c r="B127" s="2" t="s">
        <v>20</v>
      </c>
      <c r="C127" s="1"/>
      <c r="D127" s="16">
        <f>IF(COUNT(Statements!D63,Statements!D9)=2,IF(Statements!D9&gt;0,Statements!D63/Statements!D9,""),"")</f>
        <v>2.859230076835775E-2</v>
      </c>
      <c r="E127" s="16">
        <f>IF(COUNT(Statements!E63,Statements!E9)=2,IF(Statements!E9&gt;0,Statements!E63/Statements!E9,""),"")</f>
        <v>2.415896275269477E-2</v>
      </c>
      <c r="F127" s="16">
        <f>IF(COUNT(Statements!F63,Statements!F9)=2,IF(Statements!F9&gt;0,Statements!F63/Statements!F9,""),"")</f>
        <v>3.0553079216937677E-2</v>
      </c>
      <c r="G127" s="1"/>
      <c r="H127" s="1"/>
      <c r="I127" s="1"/>
      <c r="J127" s="1"/>
      <c r="K127" s="1"/>
      <c r="L127" s="1"/>
      <c r="M127" s="1"/>
      <c r="N127" s="1"/>
    </row>
    <row r="128" spans="1:14" ht="21.95" customHeight="1">
      <c r="A128" s="1"/>
      <c r="B128" s="2" t="s">
        <v>22</v>
      </c>
      <c r="C128" s="1"/>
      <c r="D128" s="7">
        <f>IF(COUNT(Statements!D14,History!D24)=2,IF(History!D24&gt;0,Statements!D14/History!D24,""),"")</f>
        <v>0.27350001187169076</v>
      </c>
      <c r="E128" s="7">
        <f>IF(COUNT(Statements!E14,History!E24)=2,IF(History!E24&gt;0,Statements!E14/History!E24,""),"")</f>
        <v>0.26180944755804642</v>
      </c>
      <c r="F128" s="7">
        <f>IF(COUNT(Statements!F14,History!F24)=2,IF(History!F24&gt;0,Statements!F14/History!F24,""),"")</f>
        <v>0.2560858143607706</v>
      </c>
      <c r="G128" s="1"/>
      <c r="H128" s="1"/>
      <c r="I128" s="1"/>
      <c r="J128" s="1"/>
      <c r="K128" s="1"/>
      <c r="L128" s="1"/>
      <c r="M128" s="1"/>
      <c r="N128" s="1"/>
    </row>
    <row r="129" spans="1:14" ht="21.95" customHeight="1">
      <c r="A129" s="1"/>
      <c r="B129" s="2" t="s">
        <v>24</v>
      </c>
      <c r="C129" s="1"/>
      <c r="D129" s="7">
        <f>IF(COUNT(History!E15,History!D27)=2,IF(History!D27&gt;0,History!E15/History!D27,""),"")</f>
        <v>2.9687499999999999E-2</v>
      </c>
      <c r="E129" s="7" t="str">
        <f>IF(COUNT(History!F15,History!E27)=2,IF(History!E27&gt;0,History!F15/History!E27,""),"")</f>
        <v/>
      </c>
      <c r="F129" s="7" t="str">
        <f>IF(COUNT(History!G15,History!F27)=2,IF(History!F27&gt;0,History!G15/History!F27,""),"")</f>
        <v/>
      </c>
      <c r="G129" s="1"/>
      <c r="H129" s="1"/>
      <c r="I129" s="1"/>
      <c r="J129" s="1"/>
      <c r="K129" s="1"/>
      <c r="L129" s="1"/>
      <c r="M129" s="1"/>
      <c r="N129" s="1"/>
    </row>
    <row r="130" spans="1:14" ht="21.95" customHeight="1">
      <c r="A130" s="1"/>
      <c r="B130" s="2" t="s">
        <v>26</v>
      </c>
      <c r="C130" s="1"/>
      <c r="D130" s="7">
        <f>IF(COUNT(History!E44,History!D27)=2,IF(History!D27&gt;0,History!E44/History!D27,""),"")</f>
        <v>8.4171195652173916E-2</v>
      </c>
      <c r="E130" s="7">
        <f>IF(COUNT(History!F44,History!E27)=2,IF(History!E27&gt;0,History!F44/History!E27,""),"")</f>
        <v>8.9640645254212878E-2</v>
      </c>
      <c r="F130" s="7">
        <f>IF(COUNT(History!G44,History!F27)=2,IF(History!F27&gt;0,History!G44/History!F27,""),"")</f>
        <v>0.10252370368286301</v>
      </c>
      <c r="G130" s="1"/>
      <c r="H130" s="1"/>
      <c r="I130" s="1"/>
      <c r="J130" s="1"/>
      <c r="K130" s="1"/>
      <c r="L130" s="1"/>
      <c r="M130" s="1"/>
      <c r="N130" s="1"/>
    </row>
    <row r="131" spans="1:14" ht="21.95" customHeight="1">
      <c r="A131" s="1"/>
      <c r="B131" s="2" t="s">
        <v>28</v>
      </c>
      <c r="C131" s="1"/>
      <c r="D131" s="11">
        <f>IF(COUNT(History!E43)=1,IF(TRUE,History!E43,""),"")</f>
        <v>5228</v>
      </c>
      <c r="E131" s="11">
        <f>IF(COUNT(History!F43)=1,IF(TRUE,History!F43,""),"")</f>
        <v>0</v>
      </c>
      <c r="F131" s="11">
        <f>IF(COUNT(History!G43)=1,IF(TRUE,History!G43,""),"")</f>
        <v>4481</v>
      </c>
      <c r="G131" s="1"/>
      <c r="H131" s="1"/>
      <c r="I131" s="1"/>
      <c r="J131" s="1"/>
      <c r="K131" s="1"/>
      <c r="L131" s="1"/>
      <c r="M131" s="1"/>
      <c r="N131" s="1"/>
    </row>
    <row r="132" spans="1:14" ht="21.95" customHeight="1">
      <c r="A132" s="1"/>
      <c r="B132" s="2" t="s">
        <v>30</v>
      </c>
      <c r="C132" s="1"/>
      <c r="D132" s="16">
        <f>IF(COUNT(Statements!D67,Statements!D19)=2,IF(Statements!D19&gt;0,Statements!D67/Statements!D19,""),"")</f>
        <v>0.1549048920047425</v>
      </c>
      <c r="E132" s="16">
        <f>IF(COUNT(Statements!E67,Statements!E19)=2,IF(Statements!E19&gt;0,Statements!E67/Statements!E19,""),"")</f>
        <v>0.16252026969360758</v>
      </c>
      <c r="F132" s="16">
        <f>IF(COUNT(Statements!F67,Statements!F19)=2,IF(Statements!F19&gt;0,Statements!F67/Statements!F19,""),"")</f>
        <v>0.13767520757075261</v>
      </c>
      <c r="G132" s="1"/>
      <c r="H132" s="1"/>
      <c r="I132" s="1"/>
      <c r="J132" s="1"/>
      <c r="K132" s="1"/>
      <c r="L132" s="1"/>
      <c r="M132" s="1"/>
      <c r="N132" s="1"/>
    </row>
    <row r="133" spans="1:14" ht="21.95" customHeight="1">
      <c r="A133" s="1"/>
      <c r="B133" s="2" t="s">
        <v>32</v>
      </c>
      <c r="C133" s="1"/>
      <c r="D133" s="11">
        <f>IF(COUNT(Statements!D17,Statements!D15,History!E15)=3,IF(TRUE,Statements!D17-Statements!D15+History!E15,""),"")</f>
        <v>3368</v>
      </c>
      <c r="E133" s="11" t="str">
        <f>IF(COUNT(Statements!E17,Statements!E15,History!F15)=3,IF(TRUE,Statements!E17-Statements!E15+History!F15,""),"")</f>
        <v/>
      </c>
      <c r="F133" s="11" t="str">
        <f>IF(COUNT(Statements!F17,Statements!F15,History!G15)=3,IF(TRUE,Statements!F17-Statements!F15+History!G15,""),"")</f>
        <v/>
      </c>
      <c r="G133" s="1"/>
      <c r="H133" s="1"/>
      <c r="I133" s="1"/>
      <c r="J133" s="1"/>
      <c r="K133" s="1"/>
      <c r="L133" s="1"/>
      <c r="M133" s="1"/>
      <c r="N133" s="1"/>
    </row>
    <row r="134" spans="1:14" ht="21.95" customHeight="1">
      <c r="A134" s="1"/>
      <c r="B134" s="2" t="s">
        <v>34</v>
      </c>
      <c r="C134" s="1"/>
      <c r="D134" s="11">
        <f>IF(COUNT(History!E45)=1,IF(TRUE,History!E45,""),"")</f>
        <v>-77550</v>
      </c>
      <c r="E134" s="11">
        <f>IF(COUNT(History!F45)=1,IF(TRUE,History!F45,""),"")</f>
        <v>-94949</v>
      </c>
      <c r="F134" s="11">
        <f>IF(COUNT(History!G45)=1,IF(TRUE,History!G45,""),"")</f>
        <v>-90711</v>
      </c>
      <c r="G134" s="1"/>
      <c r="H134" s="1"/>
      <c r="I134" s="1"/>
      <c r="J134" s="1"/>
      <c r="K134" s="1"/>
      <c r="L134" s="1"/>
      <c r="M134" s="1"/>
      <c r="N134" s="1"/>
    </row>
    <row r="135" spans="1:14" ht="21.9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21.9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21.9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21.9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</sheetData>
  <mergeCells count="9">
    <mergeCell ref="B80:L80"/>
    <mergeCell ref="B119:L119"/>
    <mergeCell ref="B105:L105"/>
    <mergeCell ref="B4:L5"/>
    <mergeCell ref="B2:L2"/>
    <mergeCell ref="B3:L3"/>
    <mergeCell ref="B8:L8"/>
    <mergeCell ref="B29:L29"/>
    <mergeCell ref="B55:L55"/>
  </mergeCells>
  <conditionalFormatting sqref="D31:L31">
    <cfRule type="cellIs" dxfId="2" priority="7" operator="lessThan">
      <formula>0</formula>
    </cfRule>
  </conditionalFormatting>
  <conditionalFormatting sqref="D107:L109">
    <cfRule type="cellIs" dxfId="1" priority="1" operator="greaterThan">
      <formula>0.5</formula>
    </cfRule>
    <cfRule type="cellIs" dxfId="0" priority="2" operator="lessThan">
      <formula>-0.5</formula>
    </cfRule>
  </conditionalFormatting>
  <pageMargins left="0.7" right="0.7" top="0.75" bottom="0.75" header="0.3" footer="0.3"/>
  <pageSetup scale="4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64E58"/>
    <pageSetUpPr fitToPage="1"/>
  </sheetPr>
  <dimension ref="A1:L55"/>
  <sheetViews>
    <sheetView showGridLines="0" zoomScale="85" zoomScaleNormal="85" workbookViewId="0">
      <pane ySplit="7" topLeftCell="A8" activePane="bottomLeft" state="frozen"/>
      <selection pane="bottomLeft"/>
    </sheetView>
  </sheetViews>
  <sheetFormatPr defaultRowHeight="14.25"/>
  <cols>
    <col min="1" max="1" width="1.125" customWidth="1"/>
    <col min="2" max="2" width="43" customWidth="1"/>
    <col min="3" max="3" width="3" customWidth="1"/>
    <col min="4" max="8" width="15" customWidth="1"/>
    <col min="9" max="9" width="3" customWidth="1"/>
    <col min="10" max="10" width="72" customWidth="1"/>
    <col min="11" max="12" width="15" customWidth="1"/>
  </cols>
  <sheetData>
    <row r="1" spans="1:12" ht="21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1"/>
      <c r="B2" s="30" t="s">
        <v>125</v>
      </c>
      <c r="C2" s="30"/>
      <c r="D2" s="30"/>
      <c r="E2" s="30"/>
      <c r="F2" s="30"/>
      <c r="G2" s="30"/>
      <c r="H2" s="30"/>
      <c r="I2" s="1"/>
      <c r="J2" s="1"/>
      <c r="K2" s="1"/>
      <c r="L2" s="1"/>
    </row>
    <row r="3" spans="1:12" ht="21.95" customHeight="1">
      <c r="A3" s="1"/>
      <c r="B3" s="31" t="s">
        <v>126</v>
      </c>
      <c r="C3" s="31"/>
      <c r="D3" s="31"/>
      <c r="E3" s="31"/>
      <c r="F3" s="31"/>
      <c r="G3" s="31"/>
      <c r="H3" s="31"/>
      <c r="I3" s="1"/>
      <c r="J3" s="1"/>
      <c r="K3" s="1"/>
      <c r="L3" s="1"/>
    </row>
    <row r="4" spans="1:12" ht="21.95" customHeight="1">
      <c r="A4" s="1"/>
      <c r="B4" s="33" t="s">
        <v>127</v>
      </c>
      <c r="C4" s="33"/>
      <c r="D4" s="33"/>
      <c r="E4" s="33"/>
      <c r="F4" s="33"/>
      <c r="G4" s="33"/>
      <c r="H4" s="33"/>
      <c r="I4" s="1"/>
      <c r="J4" s="1"/>
      <c r="K4" s="1"/>
      <c r="L4" s="1"/>
    </row>
    <row r="5" spans="1:12" ht="21.95" customHeight="1">
      <c r="A5" s="1"/>
      <c r="B5" s="33"/>
      <c r="C5" s="33"/>
      <c r="D5" s="33"/>
      <c r="E5" s="33"/>
      <c r="F5" s="33"/>
      <c r="G5" s="33"/>
      <c r="H5" s="33"/>
      <c r="I5" s="1"/>
      <c r="J5" s="1"/>
      <c r="K5" s="1"/>
      <c r="L5" s="1"/>
    </row>
    <row r="6" spans="1:12" ht="33.950000000000003" customHeight="1">
      <c r="A6" s="1"/>
      <c r="B6" s="2" t="s">
        <v>128</v>
      </c>
      <c r="C6" s="1"/>
      <c r="D6" s="34" t="str">
        <f>IF(ISNUMBER(D40),"Review the result and model checks",IF(COUNT(Assumptions!F31,Assumptions!F32)&lt;2,"Enter discount rate and long-run growth",IF(Assumptions!F31&lt;=0,"Discount rate must be positive",IF(OR(Assumptions!F32&lt;=-1,Assumptions!F32&gt;=Assumptions!F31),"Long-run growth must be below WACC",IF(COUNT(D15:H15)&lt;5,"Complete the forecast on Assumptions","Enter shares, claims and non-operating assets")))))</f>
        <v>Enter discount rate and long-run growth</v>
      </c>
      <c r="E6" s="35"/>
      <c r="F6" s="35"/>
      <c r="G6" s="35"/>
      <c r="H6" s="35"/>
      <c r="I6" s="1"/>
      <c r="J6" s="1"/>
      <c r="K6" s="1"/>
      <c r="L6" s="1"/>
    </row>
    <row r="7" spans="1:12" ht="32.1" customHeight="1">
      <c r="A7" s="1"/>
      <c r="B7" s="1"/>
      <c r="C7" s="1"/>
      <c r="D7" s="4">
        <v>2026</v>
      </c>
      <c r="E7" s="4">
        <v>2027</v>
      </c>
      <c r="F7" s="4">
        <v>2028</v>
      </c>
      <c r="G7" s="4">
        <v>2029</v>
      </c>
      <c r="H7" s="4">
        <v>2030</v>
      </c>
      <c r="I7" s="1"/>
      <c r="J7" s="1"/>
      <c r="K7" s="1"/>
      <c r="L7" s="1"/>
    </row>
    <row r="8" spans="1:12" ht="21.9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1.95" customHeight="1">
      <c r="A9" s="1"/>
      <c r="B9" s="2" t="s">
        <v>64</v>
      </c>
      <c r="C9" s="1"/>
      <c r="D9" s="11" t="str">
        <f>IF(COUNT(Statements!H15)=1,IF(TRUE,Statements!H15,""),"")</f>
        <v/>
      </c>
      <c r="E9" s="11" t="str">
        <f>IF(COUNT(Statements!I15)=1,IF(TRUE,Statements!I15,""),"")</f>
        <v/>
      </c>
      <c r="F9" s="11" t="str">
        <f>IF(COUNT(Statements!J15)=1,IF(TRUE,Statements!J15,""),"")</f>
        <v/>
      </c>
      <c r="G9" s="11" t="str">
        <f>IF(COUNT(Statements!K15)=1,IF(TRUE,Statements!K15,""),"")</f>
        <v/>
      </c>
      <c r="H9" s="11" t="str">
        <f>IF(COUNT(Statements!L15)=1,IF(TRUE,Statements!L15,""),"")</f>
        <v/>
      </c>
      <c r="I9" s="1"/>
      <c r="J9" s="1"/>
      <c r="K9" s="1"/>
      <c r="L9" s="1"/>
    </row>
    <row r="10" spans="1:12" ht="21.95" customHeight="1">
      <c r="A10" s="1"/>
      <c r="B10" s="2" t="s">
        <v>129</v>
      </c>
      <c r="C10" s="1"/>
      <c r="D10" s="11" t="str">
        <f>IF(COUNT(DCF!D9,Assumptions!F12)=2,IF(AND(Assumptions!F12&gt;=0,Assumptions!F12&lt;=1),MAX(0,DCF!D9)*Assumptions!F12,""),"")</f>
        <v/>
      </c>
      <c r="E10" s="11" t="str">
        <f>IF(COUNT(DCF!E9,Assumptions!G12)=2,IF(AND(Assumptions!G12&gt;=0,Assumptions!G12&lt;=1),MAX(0,DCF!E9)*Assumptions!G12,""),"")</f>
        <v/>
      </c>
      <c r="F10" s="11" t="str">
        <f>IF(COUNT(DCF!F9,Assumptions!H12)=2,IF(AND(Assumptions!H12&gt;=0,Assumptions!H12&lt;=1),MAX(0,DCF!F9)*Assumptions!H12,""),"")</f>
        <v/>
      </c>
      <c r="G10" s="11" t="str">
        <f>IF(COUNT(DCF!G9,Assumptions!I12)=2,IF(AND(Assumptions!I12&gt;=0,Assumptions!I12&lt;=1),MAX(0,DCF!G9)*Assumptions!I12,""),"")</f>
        <v/>
      </c>
      <c r="H10" s="11" t="str">
        <f>IF(COUNT(DCF!H9,Assumptions!J12)=2,IF(AND(Assumptions!J12&gt;=0,Assumptions!J12&lt;=1),MAX(0,DCF!H9)*Assumptions!J12,""),"")</f>
        <v/>
      </c>
      <c r="I10" s="1"/>
      <c r="J10" s="1"/>
      <c r="K10" s="1"/>
      <c r="L10" s="1"/>
    </row>
    <row r="11" spans="1:12" ht="21.95" customHeight="1">
      <c r="A11" s="1"/>
      <c r="B11" s="20" t="s">
        <v>130</v>
      </c>
      <c r="C11" s="21"/>
      <c r="D11" s="22" t="str">
        <f>IF(COUNT(DCF!D9,DCF!D10)=2,IF(TRUE,DCF!D9-DCF!D10,""),"")</f>
        <v/>
      </c>
      <c r="E11" s="22" t="str">
        <f>IF(COUNT(DCF!E9,DCF!E10)=2,IF(TRUE,DCF!E9-DCF!E10,""),"")</f>
        <v/>
      </c>
      <c r="F11" s="22" t="str">
        <f>IF(COUNT(DCF!F9,DCF!F10)=2,IF(TRUE,DCF!F9-DCF!F10,""),"")</f>
        <v/>
      </c>
      <c r="G11" s="22" t="str">
        <f>IF(COUNT(DCF!G9,DCF!G10)=2,IF(TRUE,DCF!G9-DCF!G10,""),"")</f>
        <v/>
      </c>
      <c r="H11" s="22" t="str">
        <f>IF(COUNT(DCF!H9,DCF!H10)=2,IF(TRUE,DCF!H9-DCF!H10,""),"")</f>
        <v/>
      </c>
      <c r="I11" s="1"/>
      <c r="J11" s="1"/>
      <c r="K11" s="1"/>
      <c r="L11" s="1"/>
    </row>
    <row r="12" spans="1:12" ht="21.95" customHeight="1">
      <c r="A12" s="1"/>
      <c r="B12" s="2" t="s">
        <v>87</v>
      </c>
      <c r="C12" s="1"/>
      <c r="D12" s="11" t="str">
        <f>IF(COUNT(Statements!H14)=1,IF(TRUE,Statements!H14,""),"")</f>
        <v/>
      </c>
      <c r="E12" s="11" t="str">
        <f>IF(COUNT(Statements!I14)=1,IF(TRUE,Statements!I14,""),"")</f>
        <v/>
      </c>
      <c r="F12" s="11" t="str">
        <f>IF(COUNT(Statements!J14)=1,IF(TRUE,Statements!J14,""),"")</f>
        <v/>
      </c>
      <c r="G12" s="11" t="str">
        <f>IF(COUNT(Statements!K14)=1,IF(TRUE,Statements!K14,""),"")</f>
        <v/>
      </c>
      <c r="H12" s="11" t="str">
        <f>IF(COUNT(Statements!L14)=1,IF(TRUE,Statements!L14,""),"")</f>
        <v/>
      </c>
      <c r="I12" s="1"/>
      <c r="J12" s="1"/>
      <c r="K12" s="1"/>
      <c r="L12" s="1"/>
    </row>
    <row r="13" spans="1:12" ht="21.95" customHeight="1">
      <c r="A13" s="1"/>
      <c r="B13" s="2" t="s">
        <v>92</v>
      </c>
      <c r="C13" s="1"/>
      <c r="D13" s="11" t="str">
        <f>IF(COUNT(Statements!H63)=1,IF(TRUE,Statements!H63,""),"")</f>
        <v/>
      </c>
      <c r="E13" s="11" t="str">
        <f>IF(COUNT(Statements!I63)=1,IF(TRUE,Statements!I63,""),"")</f>
        <v/>
      </c>
      <c r="F13" s="11" t="str">
        <f>IF(COUNT(Statements!J63)=1,IF(TRUE,Statements!J63,""),"")</f>
        <v/>
      </c>
      <c r="G13" s="11" t="str">
        <f>IF(COUNT(Statements!K63)=1,IF(TRUE,Statements!K63,""),"")</f>
        <v/>
      </c>
      <c r="H13" s="11" t="str">
        <f>IF(COUNT(Statements!L63)=1,IF(TRUE,Statements!L63,""),"")</f>
        <v/>
      </c>
      <c r="I13" s="1"/>
      <c r="J13" s="1"/>
      <c r="K13" s="1"/>
      <c r="L13" s="1"/>
    </row>
    <row r="14" spans="1:12" ht="21.95" customHeight="1">
      <c r="A14" s="1"/>
      <c r="B14" s="2" t="s">
        <v>90</v>
      </c>
      <c r="C14" s="1"/>
      <c r="D14" s="11" t="str">
        <f>IF(COUNT(Statements!H61)=1,IF(TRUE,Statements!H61,""),"")</f>
        <v/>
      </c>
      <c r="E14" s="11" t="str">
        <f>IF(COUNT(Statements!I61)=1,IF(TRUE,Statements!I61,""),"")</f>
        <v/>
      </c>
      <c r="F14" s="11" t="str">
        <f>IF(COUNT(Statements!J61)=1,IF(TRUE,Statements!J61,""),"")</f>
        <v/>
      </c>
      <c r="G14" s="11" t="str">
        <f>IF(COUNT(Statements!K61)=1,IF(TRUE,Statements!K61,""),"")</f>
        <v/>
      </c>
      <c r="H14" s="11" t="str">
        <f>IF(COUNT(Statements!L61)=1,IF(TRUE,Statements!L61,""),"")</f>
        <v/>
      </c>
      <c r="I14" s="1"/>
      <c r="J14" s="1"/>
      <c r="K14" s="1"/>
      <c r="L14" s="1"/>
    </row>
    <row r="15" spans="1:12" ht="21.95" customHeight="1">
      <c r="A15" s="1"/>
      <c r="B15" s="20" t="s">
        <v>131</v>
      </c>
      <c r="C15" s="21"/>
      <c r="D15" s="22" t="str">
        <f>IF(COUNT(DCF!D11,DCF!D12,DCF!D13,DCF!D14)=4,IF(TRUE,DCF!D11+DCF!D12-DCF!D13-DCF!D14,""),"")</f>
        <v/>
      </c>
      <c r="E15" s="22" t="str">
        <f>IF(COUNT(DCF!E11,DCF!E12,DCF!E13,DCF!E14)=4,IF(TRUE,DCF!E11+DCF!E12-DCF!E13-DCF!E14,""),"")</f>
        <v/>
      </c>
      <c r="F15" s="22" t="str">
        <f>IF(COUNT(DCF!F11,DCF!F12,DCF!F13,DCF!F14)=4,IF(TRUE,DCF!F11+DCF!F12-DCF!F13-DCF!F14,""),"")</f>
        <v/>
      </c>
      <c r="G15" s="22" t="str">
        <f>IF(COUNT(DCF!G11,DCF!G12,DCF!G13,DCF!G14)=4,IF(TRUE,DCF!G11+DCF!G12-DCF!G13-DCF!G14,""),"")</f>
        <v/>
      </c>
      <c r="H15" s="22" t="str">
        <f>IF(COUNT(DCF!H11,DCF!H12,DCF!H13,DCF!H14)=4,IF(TRUE,DCF!H11+DCF!H12-DCF!H13-DCF!H14,""),"")</f>
        <v/>
      </c>
      <c r="I15" s="1"/>
      <c r="J15" s="1"/>
      <c r="K15" s="1"/>
      <c r="L15" s="1"/>
    </row>
    <row r="16" spans="1:12" ht="21.9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1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1.95" customHeight="1">
      <c r="A18" s="1"/>
      <c r="B18" s="2" t="s">
        <v>132</v>
      </c>
      <c r="C18" s="1"/>
      <c r="D18" s="24" t="str">
        <f>IF(COUNT(Assumptions!F31)=1,IF(Assumptions!F31&gt;0,1/(1+Assumptions!F31)^1,""),"")</f>
        <v/>
      </c>
      <c r="E18" s="24" t="str">
        <f>IF(COUNT(Assumptions!F31)=1,IF(Assumptions!F31&gt;0,1/(1+Assumptions!F31)^2,""),"")</f>
        <v/>
      </c>
      <c r="F18" s="24" t="str">
        <f>IF(COUNT(Assumptions!F31)=1,IF(Assumptions!F31&gt;0,1/(1+Assumptions!F31)^3,""),"")</f>
        <v/>
      </c>
      <c r="G18" s="24" t="str">
        <f>IF(COUNT(Assumptions!F31)=1,IF(Assumptions!F31&gt;0,1/(1+Assumptions!F31)^4,""),"")</f>
        <v/>
      </c>
      <c r="H18" s="24" t="str">
        <f>IF(COUNT(Assumptions!F31)=1,IF(Assumptions!F31&gt;0,1/(1+Assumptions!F31)^5,""),"")</f>
        <v/>
      </c>
      <c r="I18" s="1"/>
      <c r="J18" s="1"/>
      <c r="K18" s="1"/>
      <c r="L18" s="1"/>
    </row>
    <row r="19" spans="1:12" ht="21.95" customHeight="1">
      <c r="A19" s="1"/>
      <c r="B19" s="20" t="s">
        <v>133</v>
      </c>
      <c r="C19" s="21"/>
      <c r="D19" s="22" t="str">
        <f>IF(COUNT(DCF!D15,DCF!D18)=2,IF(TRUE,DCF!D15*DCF!D18,""),"")</f>
        <v/>
      </c>
      <c r="E19" s="22" t="str">
        <f>IF(COUNT(DCF!E15,DCF!E18)=2,IF(TRUE,DCF!E15*DCF!E18,""),"")</f>
        <v/>
      </c>
      <c r="F19" s="22" t="str">
        <f>IF(COUNT(DCF!F15,DCF!F18)=2,IF(TRUE,DCF!F15*DCF!F18,""),"")</f>
        <v/>
      </c>
      <c r="G19" s="22" t="str">
        <f>IF(COUNT(DCF!G15,DCF!G18)=2,IF(TRUE,DCF!G15*DCF!G18,""),"")</f>
        <v/>
      </c>
      <c r="H19" s="22" t="str">
        <f>IF(COUNT(DCF!H15,DCF!H18)=2,IF(TRUE,DCF!H15*DCF!H18,""),"")</f>
        <v/>
      </c>
      <c r="I19" s="1"/>
      <c r="J19" s="1"/>
      <c r="K19" s="1"/>
      <c r="L19" s="1"/>
    </row>
    <row r="20" spans="1:12" ht="21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4.95" customHeight="1">
      <c r="A21" s="1"/>
      <c r="B21" s="32" t="s">
        <v>134</v>
      </c>
      <c r="C21" s="32" t="s">
        <v>134</v>
      </c>
      <c r="D21" s="32" t="s">
        <v>134</v>
      </c>
      <c r="E21" s="32" t="s">
        <v>134</v>
      </c>
      <c r="F21" s="32" t="s">
        <v>134</v>
      </c>
      <c r="G21" s="32" t="s">
        <v>134</v>
      </c>
      <c r="H21" s="32" t="s">
        <v>134</v>
      </c>
      <c r="I21" s="1"/>
      <c r="J21" s="1"/>
      <c r="K21" s="1"/>
      <c r="L21" s="1"/>
    </row>
    <row r="22" spans="1:12" ht="21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32.1" customHeight="1">
      <c r="A23" s="1"/>
      <c r="B23" s="2" t="s">
        <v>135</v>
      </c>
      <c r="C23" s="1"/>
      <c r="D23" s="11" t="str">
        <f>IF(COUNT(H15,Assumptions!F32)=2,IF(Assumptions!F32&gt;-1,H15*(1+Assumptions!F32),""),"")</f>
        <v/>
      </c>
      <c r="E23" s="1"/>
      <c r="F23" s="1"/>
      <c r="G23" s="1"/>
      <c r="H23" s="1"/>
      <c r="I23" s="1"/>
      <c r="J23" s="5" t="s">
        <v>136</v>
      </c>
      <c r="K23" s="1"/>
      <c r="L23" s="1"/>
    </row>
    <row r="24" spans="1:12" ht="32.1" customHeight="1">
      <c r="A24" s="1"/>
      <c r="B24" s="2" t="s">
        <v>137</v>
      </c>
      <c r="C24" s="1"/>
      <c r="D24" s="11" t="str">
        <f>IF(COUNT(DCF!D23,Assumptions!F31,Assumptions!F32)=3,IF(AND(Assumptions!F31&gt;0,Assumptions!F32&gt;-1,Assumptions!F32&lt;Assumptions!F31),DCF!D23/(Assumptions!F31-Assumptions!F32),""),"")</f>
        <v/>
      </c>
      <c r="E24" s="1"/>
      <c r="F24" s="1"/>
      <c r="G24" s="1"/>
      <c r="H24" s="1"/>
      <c r="I24" s="1"/>
      <c r="J24" s="5" t="s">
        <v>138</v>
      </c>
      <c r="K24" s="1"/>
      <c r="L24" s="1"/>
    </row>
    <row r="25" spans="1:12" ht="21.95" customHeight="1">
      <c r="A25" s="1"/>
      <c r="B25" s="2" t="s">
        <v>139</v>
      </c>
      <c r="C25" s="1"/>
      <c r="D25" s="15" t="str">
        <f>IF(COUNT(DCF!D24,H18)=2,IF(TRUE,DCF!D24*H18,""),"")</f>
        <v/>
      </c>
      <c r="E25" s="1"/>
      <c r="F25" s="1"/>
      <c r="G25" s="1"/>
      <c r="H25" s="1"/>
      <c r="I25" s="1"/>
      <c r="J25" s="1"/>
      <c r="K25" s="1"/>
      <c r="L25" s="1"/>
    </row>
    <row r="26" spans="1:12" ht="21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4.95" customHeight="1">
      <c r="A27" s="1"/>
      <c r="B27" s="32" t="s">
        <v>140</v>
      </c>
      <c r="C27" s="32" t="s">
        <v>140</v>
      </c>
      <c r="D27" s="32" t="s">
        <v>140</v>
      </c>
      <c r="E27" s="32" t="s">
        <v>140</v>
      </c>
      <c r="F27" s="32" t="s">
        <v>140</v>
      </c>
      <c r="G27" s="32" t="s">
        <v>140</v>
      </c>
      <c r="H27" s="32" t="s">
        <v>140</v>
      </c>
      <c r="I27" s="1"/>
      <c r="J27" s="1"/>
      <c r="K27" s="1"/>
      <c r="L27" s="1"/>
    </row>
    <row r="28" spans="1:12" ht="21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1.95" customHeight="1">
      <c r="A29" s="1"/>
      <c r="B29" s="2" t="s">
        <v>141</v>
      </c>
      <c r="C29" s="1"/>
      <c r="D29" s="15" t="str">
        <f>IF(COUNT(D19,E19,F19,G19,H19)=5,IF(TRUE,SUM(D19:H19),""),"")</f>
        <v/>
      </c>
      <c r="E29" s="1"/>
      <c r="F29" s="1"/>
      <c r="G29" s="1"/>
      <c r="H29" s="1"/>
      <c r="I29" s="1"/>
      <c r="J29" s="1"/>
      <c r="K29" s="1"/>
      <c r="L29" s="1"/>
    </row>
    <row r="30" spans="1:12" ht="21.95" customHeight="1">
      <c r="A30" s="1"/>
      <c r="B30" s="2" t="s">
        <v>139</v>
      </c>
      <c r="C30" s="1"/>
      <c r="D30" s="15" t="str">
        <f>IF(COUNT(DCF!D25)=1,IF(TRUE,DCF!D25,""),"")</f>
        <v/>
      </c>
      <c r="E30" s="1"/>
      <c r="F30" s="1"/>
      <c r="G30" s="1"/>
      <c r="H30" s="1"/>
      <c r="I30" s="1"/>
      <c r="J30" s="1"/>
      <c r="K30" s="1"/>
      <c r="L30" s="1"/>
    </row>
    <row r="31" spans="1:12" ht="21.95" customHeight="1">
      <c r="A31" s="1"/>
      <c r="B31" s="20" t="s">
        <v>142</v>
      </c>
      <c r="C31" s="21"/>
      <c r="D31" s="22" t="str">
        <f>IF(COUNT(DCF!D29,DCF!D30)=2,IF(TRUE,DCF!D29+DCF!D30,""),"")</f>
        <v/>
      </c>
      <c r="E31" s="21"/>
      <c r="F31" s="21"/>
      <c r="G31" s="21"/>
      <c r="H31" s="21"/>
      <c r="I31" s="1"/>
      <c r="J31" s="1"/>
      <c r="K31" s="1"/>
      <c r="L31" s="1"/>
    </row>
    <row r="32" spans="1:12" ht="21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1.95" customHeight="1">
      <c r="A33" s="1"/>
      <c r="B33" s="2" t="s">
        <v>143</v>
      </c>
      <c r="C33" s="1"/>
      <c r="D33" s="11">
        <f>IF(COUNT(Statements!F31)=1,IF(TRUE,Statements!F31,""),"")</f>
        <v>35934</v>
      </c>
      <c r="E33" s="1"/>
      <c r="F33" s="1"/>
      <c r="G33" s="1"/>
      <c r="H33" s="1"/>
      <c r="I33" s="1"/>
      <c r="J33" s="1"/>
      <c r="K33" s="1"/>
      <c r="L33" s="1"/>
    </row>
    <row r="34" spans="1:12" ht="21.95" customHeight="1">
      <c r="A34" s="1"/>
      <c r="B34" s="2" t="s">
        <v>144</v>
      </c>
      <c r="C34" s="1"/>
      <c r="D34" s="11">
        <f>IF(COUNT(Statements!F39)=1,IF(Statements!F39&gt;=0,Statements!F39,""),"")</f>
        <v>98657</v>
      </c>
      <c r="E34" s="1"/>
      <c r="F34" s="1"/>
      <c r="G34" s="1"/>
      <c r="H34" s="1"/>
      <c r="I34" s="1"/>
      <c r="J34" s="1"/>
      <c r="K34" s="1"/>
      <c r="L34" s="1"/>
    </row>
    <row r="35" spans="1:12" ht="21.95" customHeight="1">
      <c r="A35" s="1"/>
      <c r="B35" s="2" t="s">
        <v>44</v>
      </c>
      <c r="C35" s="1"/>
      <c r="D35" s="11" t="str">
        <f>IF(COUNT(Assumptions!F34)=1,IF(Assumptions!F34&gt;=0,Assumptions!F34,""),"")</f>
        <v/>
      </c>
      <c r="E35" s="1"/>
      <c r="F35" s="1"/>
      <c r="G35" s="1"/>
      <c r="H35" s="1"/>
      <c r="I35" s="1"/>
      <c r="J35" s="1"/>
      <c r="K35" s="1"/>
      <c r="L35" s="1"/>
    </row>
    <row r="36" spans="1:12" ht="21.95" customHeight="1">
      <c r="A36" s="1"/>
      <c r="B36" s="2" t="s">
        <v>46</v>
      </c>
      <c r="C36" s="1"/>
      <c r="D36" s="11" t="str">
        <f>IF(COUNT(Assumptions!F35)=1,IF(Assumptions!F35&gt;=0,Assumptions!F35,""),"")</f>
        <v/>
      </c>
      <c r="E36" s="1"/>
      <c r="F36" s="1"/>
      <c r="G36" s="1"/>
      <c r="H36" s="1"/>
      <c r="I36" s="1"/>
      <c r="J36" s="1"/>
      <c r="K36" s="1"/>
      <c r="L36" s="1"/>
    </row>
    <row r="37" spans="1:12" ht="32.1" customHeight="1">
      <c r="A37" s="1"/>
      <c r="B37" s="20" t="s">
        <v>145</v>
      </c>
      <c r="C37" s="21"/>
      <c r="D37" s="22" t="str">
        <f>IF(COUNT(DCF!D31,DCF!D33,DCF!D34,DCF!D35,DCF!D36)=5,IF(TRUE,DCF!D31+DCF!D33-DCF!D34-DCF!D35+DCF!D36,""),"")</f>
        <v/>
      </c>
      <c r="E37" s="21"/>
      <c r="F37" s="21"/>
      <c r="G37" s="21"/>
      <c r="H37" s="21"/>
      <c r="I37" s="1"/>
      <c r="J37" s="5" t="s">
        <v>146</v>
      </c>
      <c r="K37" s="1"/>
      <c r="L37" s="1"/>
    </row>
    <row r="38" spans="1:12" ht="21.9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21.95" customHeight="1">
      <c r="A39" s="1"/>
      <c r="B39" s="2" t="s">
        <v>42</v>
      </c>
      <c r="C39" s="1"/>
      <c r="D39" s="11" t="str">
        <f>IF(COUNT(Assumptions!F33)=1,IF(Assumptions!F33&gt;0,Assumptions!F33,""),"")</f>
        <v/>
      </c>
      <c r="E39" s="1"/>
      <c r="F39" s="1"/>
      <c r="G39" s="1"/>
      <c r="H39" s="1"/>
      <c r="I39" s="1"/>
      <c r="J39" s="1"/>
      <c r="K39" s="1"/>
      <c r="L39" s="1"/>
    </row>
    <row r="40" spans="1:12" ht="21.95" customHeight="1">
      <c r="A40" s="1"/>
      <c r="B40" s="20" t="s">
        <v>147</v>
      </c>
      <c r="C40" s="21"/>
      <c r="D40" s="26" t="str">
        <f>IF(COUNT(DCF!D37,DCF!D39)=2,IF(DCF!D39&gt;0,DCF!D37*1000000/(DCF!D39*1000000),""),"")</f>
        <v/>
      </c>
      <c r="E40" s="21"/>
      <c r="F40" s="21"/>
      <c r="G40" s="21"/>
      <c r="H40" s="21"/>
      <c r="I40" s="1"/>
      <c r="J40" s="1"/>
      <c r="K40" s="1"/>
      <c r="L40" s="1"/>
    </row>
    <row r="41" spans="1:12" ht="21.9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21.95" customHeight="1">
      <c r="A42" s="1"/>
      <c r="B42" s="2" t="s">
        <v>48</v>
      </c>
      <c r="C42" s="1"/>
      <c r="D42" s="25" t="str">
        <f>IF(COUNT(Assumptions!F36)=1,IF(Assumptions!F36&gt;0,Assumptions!F36,""),"")</f>
        <v/>
      </c>
      <c r="E42" s="1"/>
      <c r="F42" s="1"/>
      <c r="G42" s="1"/>
      <c r="H42" s="1"/>
      <c r="I42" s="1"/>
      <c r="J42" s="1"/>
      <c r="K42" s="1"/>
      <c r="L42" s="1"/>
    </row>
    <row r="43" spans="1:12" ht="21.95" customHeight="1">
      <c r="A43" s="1"/>
      <c r="B43" s="2" t="s">
        <v>148</v>
      </c>
      <c r="C43" s="1"/>
      <c r="D43" s="16" t="str">
        <f>IF(COUNT(DCF!D40,DCF!D42)=2,IF(DCF!D42&gt;0,DCF!D40/DCF!D42-1,""),"")</f>
        <v/>
      </c>
      <c r="E43" s="1"/>
      <c r="F43" s="1"/>
      <c r="G43" s="1"/>
      <c r="H43" s="1"/>
      <c r="I43" s="1"/>
      <c r="J43" s="1"/>
      <c r="K43" s="1"/>
      <c r="L43" s="1"/>
    </row>
    <row r="44" spans="1:12" ht="21.9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21.9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21.9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27" customHeight="1">
      <c r="A47" s="1"/>
      <c r="B47" s="33" t="s">
        <v>149</v>
      </c>
      <c r="C47" s="33"/>
      <c r="D47" s="33"/>
      <c r="E47" s="33"/>
      <c r="F47" s="33"/>
      <c r="G47" s="33"/>
      <c r="H47" s="33"/>
      <c r="I47" s="1"/>
      <c r="J47" s="1"/>
      <c r="K47" s="1"/>
      <c r="L47" s="1"/>
    </row>
    <row r="48" spans="1:12" ht="27" customHeight="1">
      <c r="A48" s="1"/>
      <c r="B48" s="33"/>
      <c r="C48" s="33"/>
      <c r="D48" s="33"/>
      <c r="E48" s="33"/>
      <c r="F48" s="33"/>
      <c r="G48" s="33"/>
      <c r="H48" s="33"/>
      <c r="I48" s="1"/>
      <c r="J48" s="1"/>
      <c r="K48" s="1"/>
      <c r="L48" s="1"/>
    </row>
    <row r="49" spans="1:12" ht="21.9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21.9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21.95" customHeight="1">
      <c r="A51" s="1"/>
      <c r="B51" s="33" t="s">
        <v>150</v>
      </c>
      <c r="C51" s="33"/>
      <c r="D51" s="33"/>
      <c r="E51" s="33"/>
      <c r="F51" s="33"/>
      <c r="G51" s="33"/>
      <c r="H51" s="33"/>
      <c r="I51" s="1"/>
      <c r="J51" s="1"/>
      <c r="K51" s="1"/>
      <c r="L51" s="1"/>
    </row>
    <row r="52" spans="1:12" ht="21.95" customHeight="1">
      <c r="A52" s="1"/>
      <c r="B52" s="33"/>
      <c r="C52" s="33"/>
      <c r="D52" s="33"/>
      <c r="E52" s="33"/>
      <c r="F52" s="33"/>
      <c r="G52" s="33"/>
      <c r="H52" s="33"/>
      <c r="I52" s="1"/>
      <c r="J52" s="1"/>
      <c r="K52" s="1"/>
      <c r="L52" s="1"/>
    </row>
    <row r="53" spans="1:12" ht="21.9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21.9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21.9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mergeCells count="8">
    <mergeCell ref="B47:H48"/>
    <mergeCell ref="B51:H52"/>
    <mergeCell ref="D6:H6"/>
    <mergeCell ref="B2:H2"/>
    <mergeCell ref="B3:H3"/>
    <mergeCell ref="B21:H21"/>
    <mergeCell ref="B27:H27"/>
    <mergeCell ref="B4:H5"/>
  </mergeCells>
  <pageMargins left="0.7" right="0.7" top="0.75" bottom="0.75" header="0.3" footer="0.3"/>
  <pageSetup scale="5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5C7AE"/>
    <pageSetUpPr fitToPage="1"/>
  </sheetPr>
  <dimension ref="A1:G65"/>
  <sheetViews>
    <sheetView showGridLines="0" zoomScale="85" zoomScaleNormal="85" workbookViewId="0">
      <pane ySplit="7" topLeftCell="A8" activePane="bottomLeft" state="frozen"/>
      <selection pane="bottomLeft"/>
    </sheetView>
  </sheetViews>
  <sheetFormatPr defaultRowHeight="14.25"/>
  <cols>
    <col min="1" max="1" width="1.125" customWidth="1"/>
    <col min="2" max="2" width="43" customWidth="1"/>
    <col min="3" max="3" width="23" customWidth="1"/>
    <col min="4" max="7" width="15" customWidth="1"/>
  </cols>
  <sheetData>
    <row r="1" spans="1:7" ht="21.95" customHeight="1">
      <c r="A1" s="1"/>
      <c r="B1" s="1"/>
      <c r="C1" s="1"/>
      <c r="D1" s="1"/>
      <c r="E1" s="1"/>
      <c r="F1" s="1"/>
      <c r="G1" s="1"/>
    </row>
    <row r="2" spans="1:7" ht="30" customHeight="1">
      <c r="A2" s="1"/>
      <c r="B2" s="30" t="s">
        <v>151</v>
      </c>
      <c r="C2" s="30"/>
      <c r="D2" s="30"/>
      <c r="E2" s="30"/>
      <c r="F2" s="30"/>
      <c r="G2" s="30"/>
    </row>
    <row r="3" spans="1:7" ht="21.95" customHeight="1">
      <c r="A3" s="1"/>
      <c r="B3" s="31" t="s">
        <v>1</v>
      </c>
      <c r="C3" s="31"/>
      <c r="D3" s="31"/>
      <c r="E3" s="31"/>
      <c r="F3" s="31"/>
      <c r="G3" s="31"/>
    </row>
    <row r="4" spans="1:7" ht="27" customHeight="1">
      <c r="A4" s="1"/>
      <c r="B4" s="33" t="s">
        <v>152</v>
      </c>
      <c r="C4" s="33"/>
      <c r="D4" s="33"/>
      <c r="E4" s="33"/>
      <c r="F4" s="33"/>
      <c r="G4" s="33"/>
    </row>
    <row r="5" spans="1:7" ht="27" customHeight="1">
      <c r="A5" s="1"/>
      <c r="B5" s="33"/>
      <c r="C5" s="33"/>
      <c r="D5" s="33"/>
      <c r="E5" s="33"/>
      <c r="F5" s="33"/>
      <c r="G5" s="33"/>
    </row>
    <row r="6" spans="1:7" ht="21.95" customHeight="1">
      <c r="A6" s="1"/>
      <c r="B6" s="1"/>
      <c r="C6" s="1"/>
      <c r="D6" s="1"/>
      <c r="E6" s="1"/>
      <c r="F6" s="1"/>
      <c r="G6" s="1"/>
    </row>
    <row r="7" spans="1:7" ht="32.1" customHeight="1">
      <c r="A7" s="1"/>
      <c r="B7" s="3" t="s">
        <v>153</v>
      </c>
      <c r="C7" s="3" t="s">
        <v>154</v>
      </c>
      <c r="D7" s="3" t="s">
        <v>155</v>
      </c>
      <c r="E7" s="3" t="s">
        <v>156</v>
      </c>
      <c r="F7" s="3" t="s">
        <v>157</v>
      </c>
      <c r="G7" s="3" t="s">
        <v>158</v>
      </c>
    </row>
    <row r="8" spans="1:7" ht="21.95" customHeight="1">
      <c r="A8" s="1"/>
      <c r="B8" s="1"/>
      <c r="C8" s="1"/>
      <c r="D8" s="1"/>
      <c r="E8" s="1"/>
      <c r="F8" s="1"/>
      <c r="G8" s="1"/>
    </row>
    <row r="9" spans="1:7" ht="21.95" customHeight="1">
      <c r="A9" s="1"/>
      <c r="B9" s="2" t="s">
        <v>56</v>
      </c>
      <c r="C9" s="2" t="s">
        <v>159</v>
      </c>
      <c r="D9" s="11">
        <v>394328</v>
      </c>
      <c r="E9" s="11">
        <v>383285</v>
      </c>
      <c r="F9" s="11">
        <v>391035</v>
      </c>
      <c r="G9" s="11">
        <v>416161</v>
      </c>
    </row>
    <row r="10" spans="1:7" ht="21.95" customHeight="1">
      <c r="A10" s="1"/>
      <c r="B10" s="2" t="s">
        <v>58</v>
      </c>
      <c r="C10" s="2" t="s">
        <v>160</v>
      </c>
      <c r="D10" s="11">
        <v>223546</v>
      </c>
      <c r="E10" s="11">
        <v>214137</v>
      </c>
      <c r="F10" s="11">
        <v>210352</v>
      </c>
      <c r="G10" s="11">
        <v>220960</v>
      </c>
    </row>
    <row r="11" spans="1:7" ht="21.95" customHeight="1">
      <c r="A11" s="1"/>
      <c r="B11" s="2" t="s">
        <v>59</v>
      </c>
      <c r="C11" s="2" t="s">
        <v>161</v>
      </c>
      <c r="D11" s="11">
        <v>170782</v>
      </c>
      <c r="E11" s="11">
        <v>169148</v>
      </c>
      <c r="F11" s="11">
        <v>180683</v>
      </c>
      <c r="G11" s="11">
        <v>195201</v>
      </c>
    </row>
    <row r="12" spans="1:7" ht="21.95" customHeight="1">
      <c r="A12" s="1"/>
      <c r="B12" s="2" t="s">
        <v>162</v>
      </c>
      <c r="C12" s="2" t="s">
        <v>163</v>
      </c>
      <c r="D12" s="11">
        <v>130541</v>
      </c>
      <c r="E12" s="11">
        <v>125820</v>
      </c>
      <c r="F12" s="11">
        <v>134661</v>
      </c>
      <c r="G12" s="11">
        <v>144748</v>
      </c>
    </row>
    <row r="13" spans="1:7" ht="21.95" customHeight="1">
      <c r="A13" s="1"/>
      <c r="B13" s="2" t="s">
        <v>164</v>
      </c>
      <c r="C13" s="2" t="s">
        <v>165</v>
      </c>
      <c r="D13" s="11">
        <v>11104</v>
      </c>
      <c r="E13" s="11">
        <v>11519</v>
      </c>
      <c r="F13" s="11">
        <v>11445</v>
      </c>
      <c r="G13" s="11">
        <v>11698</v>
      </c>
    </row>
    <row r="14" spans="1:7" ht="21.95" customHeight="1">
      <c r="A14" s="1"/>
      <c r="B14" s="2" t="s">
        <v>64</v>
      </c>
      <c r="C14" s="2" t="s">
        <v>166</v>
      </c>
      <c r="D14" s="11">
        <v>119437</v>
      </c>
      <c r="E14" s="11">
        <v>114301</v>
      </c>
      <c r="F14" s="11">
        <v>123216</v>
      </c>
      <c r="G14" s="11">
        <v>133050</v>
      </c>
    </row>
    <row r="15" spans="1:7" ht="21.95" customHeight="1">
      <c r="A15" s="1"/>
      <c r="B15" s="2" t="s">
        <v>167</v>
      </c>
      <c r="C15" s="2" t="s">
        <v>168</v>
      </c>
      <c r="D15" s="11">
        <v>2931</v>
      </c>
      <c r="E15" s="11">
        <v>3933</v>
      </c>
      <c r="F15" s="10"/>
      <c r="G15" s="10"/>
    </row>
    <row r="16" spans="1:7" ht="21.95" customHeight="1">
      <c r="A16" s="1"/>
      <c r="B16" s="2" t="s">
        <v>169</v>
      </c>
      <c r="C16" s="2" t="s">
        <v>170</v>
      </c>
      <c r="D16" s="11">
        <v>-334</v>
      </c>
      <c r="E16" s="11">
        <v>-565</v>
      </c>
      <c r="F16" s="11">
        <v>269</v>
      </c>
      <c r="G16" s="11">
        <v>-321</v>
      </c>
    </row>
    <row r="17" spans="1:7" ht="21.95" customHeight="1">
      <c r="A17" s="1"/>
      <c r="B17" s="2" t="s">
        <v>67</v>
      </c>
      <c r="C17" s="2" t="s">
        <v>171</v>
      </c>
      <c r="D17" s="11">
        <v>119103</v>
      </c>
      <c r="E17" s="11">
        <v>113736</v>
      </c>
      <c r="F17" s="11">
        <v>123485</v>
      </c>
      <c r="G17" s="11">
        <v>132729</v>
      </c>
    </row>
    <row r="18" spans="1:7" ht="21.95" customHeight="1">
      <c r="A18" s="1"/>
      <c r="B18" s="2" t="s">
        <v>172</v>
      </c>
      <c r="C18" s="2" t="s">
        <v>173</v>
      </c>
      <c r="D18" s="11">
        <v>19300</v>
      </c>
      <c r="E18" s="11">
        <v>16741</v>
      </c>
      <c r="F18" s="11">
        <v>29749</v>
      </c>
      <c r="G18" s="11">
        <v>20719</v>
      </c>
    </row>
    <row r="19" spans="1:7" ht="21.95" customHeight="1">
      <c r="A19" s="1"/>
      <c r="B19" s="2" t="s">
        <v>174</v>
      </c>
      <c r="C19" s="2" t="s">
        <v>175</v>
      </c>
      <c r="D19" s="11">
        <v>99803</v>
      </c>
      <c r="E19" s="11">
        <v>96995</v>
      </c>
      <c r="F19" s="11">
        <v>93736</v>
      </c>
      <c r="G19" s="11">
        <v>112010</v>
      </c>
    </row>
    <row r="20" spans="1:7" ht="21.95" customHeight="1">
      <c r="A20" s="1"/>
      <c r="B20" s="2" t="s">
        <v>176</v>
      </c>
      <c r="C20" s="2" t="s">
        <v>177</v>
      </c>
      <c r="D20" s="11">
        <v>99803</v>
      </c>
      <c r="E20" s="11">
        <v>96995</v>
      </c>
      <c r="F20" s="11">
        <v>93736</v>
      </c>
      <c r="G20" s="11">
        <v>112010</v>
      </c>
    </row>
    <row r="21" spans="1:7" ht="21.95" customHeight="1">
      <c r="A21" s="1"/>
      <c r="B21" s="2" t="s">
        <v>178</v>
      </c>
      <c r="C21" s="2" t="s">
        <v>179</v>
      </c>
      <c r="D21" s="11">
        <v>23646</v>
      </c>
      <c r="E21" s="11">
        <v>29965</v>
      </c>
      <c r="F21" s="11">
        <v>29943</v>
      </c>
      <c r="G21" s="11">
        <v>35934</v>
      </c>
    </row>
    <row r="22" spans="1:7" ht="21.95" customHeight="1">
      <c r="A22" s="1"/>
      <c r="B22" s="2" t="s">
        <v>72</v>
      </c>
      <c r="C22" s="2" t="s">
        <v>180</v>
      </c>
      <c r="D22" s="11">
        <v>28184</v>
      </c>
      <c r="E22" s="11">
        <v>29508</v>
      </c>
      <c r="F22" s="11">
        <v>33410</v>
      </c>
      <c r="G22" s="11">
        <v>39777</v>
      </c>
    </row>
    <row r="23" spans="1:7" ht="21.95" customHeight="1">
      <c r="A23" s="1"/>
      <c r="B23" s="2" t="s">
        <v>181</v>
      </c>
      <c r="C23" s="2" t="s">
        <v>182</v>
      </c>
      <c r="D23" s="11">
        <v>4946</v>
      </c>
      <c r="E23" s="11">
        <v>6331</v>
      </c>
      <c r="F23" s="11">
        <v>7286</v>
      </c>
      <c r="G23" s="11">
        <v>5718</v>
      </c>
    </row>
    <row r="24" spans="1:7" ht="21.95" customHeight="1">
      <c r="A24" s="1"/>
      <c r="B24" s="2" t="s">
        <v>183</v>
      </c>
      <c r="C24" s="2" t="s">
        <v>184</v>
      </c>
      <c r="D24" s="11">
        <v>42117</v>
      </c>
      <c r="E24" s="11">
        <v>43715</v>
      </c>
      <c r="F24" s="11">
        <v>45680</v>
      </c>
      <c r="G24" s="11">
        <v>49834</v>
      </c>
    </row>
    <row r="25" spans="1:7" ht="21.95" customHeight="1">
      <c r="A25" s="1"/>
      <c r="B25" s="2" t="s">
        <v>77</v>
      </c>
      <c r="C25" s="2" t="s">
        <v>185</v>
      </c>
      <c r="D25" s="11">
        <v>352755</v>
      </c>
      <c r="E25" s="11">
        <v>352583</v>
      </c>
      <c r="F25" s="11">
        <v>364980</v>
      </c>
      <c r="G25" s="11">
        <v>359241</v>
      </c>
    </row>
    <row r="26" spans="1:7" ht="21.95" customHeight="1">
      <c r="A26" s="1"/>
      <c r="B26" s="2" t="s">
        <v>78</v>
      </c>
      <c r="C26" s="2" t="s">
        <v>186</v>
      </c>
      <c r="D26" s="11">
        <v>64115</v>
      </c>
      <c r="E26" s="11">
        <v>62611</v>
      </c>
      <c r="F26" s="11">
        <v>68960</v>
      </c>
      <c r="G26" s="11">
        <v>69860</v>
      </c>
    </row>
    <row r="27" spans="1:7" ht="21.95" customHeight="1">
      <c r="A27" s="1"/>
      <c r="B27" s="2" t="s">
        <v>187</v>
      </c>
      <c r="C27" s="2" t="s">
        <v>188</v>
      </c>
      <c r="D27" s="11">
        <v>132480</v>
      </c>
      <c r="E27" s="11">
        <v>111088</v>
      </c>
      <c r="F27" s="11">
        <v>106629</v>
      </c>
      <c r="G27" s="11">
        <v>98657</v>
      </c>
    </row>
    <row r="28" spans="1:7" ht="21.95" customHeight="1">
      <c r="A28" s="1"/>
      <c r="B28" s="2" t="s">
        <v>82</v>
      </c>
      <c r="C28" s="2" t="s">
        <v>189</v>
      </c>
      <c r="D28" s="11">
        <v>302083</v>
      </c>
      <c r="E28" s="11">
        <v>290437</v>
      </c>
      <c r="F28" s="11">
        <v>308030</v>
      </c>
      <c r="G28" s="11">
        <v>285508</v>
      </c>
    </row>
    <row r="29" spans="1:7" ht="21.95" customHeight="1">
      <c r="A29" s="1"/>
      <c r="B29" s="2" t="s">
        <v>190</v>
      </c>
      <c r="C29" s="2" t="s">
        <v>191</v>
      </c>
      <c r="D29" s="11">
        <v>50672</v>
      </c>
      <c r="E29" s="11">
        <v>62146</v>
      </c>
      <c r="F29" s="11">
        <v>56950</v>
      </c>
      <c r="G29" s="11">
        <v>73733</v>
      </c>
    </row>
    <row r="30" spans="1:7" ht="21.95" customHeight="1">
      <c r="A30" s="1"/>
      <c r="B30" s="2" t="s">
        <v>192</v>
      </c>
      <c r="C30" s="2" t="s">
        <v>193</v>
      </c>
      <c r="D30" s="11">
        <v>50672</v>
      </c>
      <c r="E30" s="11">
        <v>62146</v>
      </c>
      <c r="F30" s="11">
        <v>56950</v>
      </c>
      <c r="G30" s="11">
        <v>73733</v>
      </c>
    </row>
    <row r="31" spans="1:7" ht="21.95" customHeight="1">
      <c r="A31" s="1"/>
      <c r="B31" s="2" t="s">
        <v>194</v>
      </c>
      <c r="C31" s="2" t="s">
        <v>195</v>
      </c>
      <c r="D31" s="10"/>
      <c r="E31" s="10"/>
      <c r="F31" s="10"/>
      <c r="G31" s="10"/>
    </row>
    <row r="32" spans="1:7" ht="21.95" customHeight="1">
      <c r="A32" s="1"/>
      <c r="B32" s="2" t="s">
        <v>196</v>
      </c>
      <c r="C32" s="2" t="s">
        <v>197</v>
      </c>
      <c r="D32" s="11">
        <v>-3068</v>
      </c>
      <c r="E32" s="11">
        <v>-214</v>
      </c>
      <c r="F32" s="11">
        <v>-19154</v>
      </c>
      <c r="G32" s="11">
        <v>-14264</v>
      </c>
    </row>
    <row r="33" spans="1:7" ht="21.95" customHeight="1">
      <c r="A33" s="1"/>
      <c r="B33" s="2" t="s">
        <v>198</v>
      </c>
      <c r="C33" s="2" t="s">
        <v>199</v>
      </c>
      <c r="D33" s="11">
        <v>122151</v>
      </c>
      <c r="E33" s="11">
        <v>110543</v>
      </c>
      <c r="F33" s="11">
        <v>118254</v>
      </c>
      <c r="G33" s="11">
        <v>111482</v>
      </c>
    </row>
    <row r="34" spans="1:7" ht="21.95" customHeight="1">
      <c r="A34" s="1"/>
      <c r="B34" s="2" t="s">
        <v>200</v>
      </c>
      <c r="C34" s="2" t="s">
        <v>201</v>
      </c>
      <c r="D34" s="11">
        <v>-22354</v>
      </c>
      <c r="E34" s="11">
        <v>3705</v>
      </c>
      <c r="F34" s="11">
        <v>2935</v>
      </c>
      <c r="G34" s="11">
        <v>15195</v>
      </c>
    </row>
    <row r="35" spans="1:7" ht="21.95" customHeight="1">
      <c r="A35" s="1"/>
      <c r="B35" s="2" t="s">
        <v>202</v>
      </c>
      <c r="C35" s="2" t="s">
        <v>203</v>
      </c>
      <c r="D35" s="11">
        <v>-110749</v>
      </c>
      <c r="E35" s="11">
        <v>-108488</v>
      </c>
      <c r="F35" s="11">
        <v>-121983</v>
      </c>
      <c r="G35" s="11">
        <v>-120686</v>
      </c>
    </row>
    <row r="36" spans="1:7" ht="21.95" customHeight="1">
      <c r="A36" s="1"/>
      <c r="B36" s="2" t="s">
        <v>204</v>
      </c>
      <c r="C36" s="2" t="s">
        <v>205</v>
      </c>
      <c r="D36" s="11">
        <v>10708</v>
      </c>
      <c r="E36" s="11">
        <v>10959</v>
      </c>
      <c r="F36" s="11">
        <v>9447</v>
      </c>
      <c r="G36" s="11">
        <v>12715</v>
      </c>
    </row>
    <row r="37" spans="1:7" ht="21.95" customHeight="1">
      <c r="A37" s="1"/>
      <c r="B37" s="2" t="s">
        <v>206</v>
      </c>
      <c r="C37" s="2" t="s">
        <v>207</v>
      </c>
      <c r="D37" s="11">
        <v>14841</v>
      </c>
      <c r="E37" s="11">
        <v>15025</v>
      </c>
      <c r="F37" s="11">
        <v>15234</v>
      </c>
      <c r="G37" s="11">
        <v>15421</v>
      </c>
    </row>
    <row r="38" spans="1:7" ht="21.95" customHeight="1">
      <c r="A38" s="1"/>
      <c r="B38" s="2" t="s">
        <v>208</v>
      </c>
      <c r="C38" s="2" t="s">
        <v>209</v>
      </c>
      <c r="D38" s="10"/>
      <c r="E38" s="10"/>
      <c r="F38" s="10"/>
      <c r="G38" s="10"/>
    </row>
    <row r="39" spans="1:7" ht="21.95" customHeight="1">
      <c r="A39" s="1"/>
      <c r="B39" s="2" t="s">
        <v>210</v>
      </c>
      <c r="C39" s="2" t="s">
        <v>211</v>
      </c>
      <c r="D39" s="11">
        <v>-10952</v>
      </c>
      <c r="E39" s="11">
        <v>5760</v>
      </c>
      <c r="F39" s="11">
        <v>-794</v>
      </c>
      <c r="G39" s="11">
        <v>5991</v>
      </c>
    </row>
    <row r="40" spans="1:7" ht="21.95" customHeight="1">
      <c r="A40" s="1"/>
      <c r="B40" s="2" t="s">
        <v>212</v>
      </c>
      <c r="C40" s="2" t="s">
        <v>213</v>
      </c>
      <c r="D40" s="11">
        <v>35929</v>
      </c>
      <c r="E40" s="11">
        <v>24977</v>
      </c>
      <c r="F40" s="11">
        <v>30737</v>
      </c>
      <c r="G40" s="11">
        <v>29943</v>
      </c>
    </row>
    <row r="41" spans="1:7" ht="21.95" customHeight="1">
      <c r="A41" s="1"/>
      <c r="B41" s="2" t="s">
        <v>214</v>
      </c>
      <c r="C41" s="2" t="s">
        <v>215</v>
      </c>
      <c r="D41" s="11">
        <v>24977</v>
      </c>
      <c r="E41" s="11">
        <v>30737</v>
      </c>
      <c r="F41" s="11">
        <v>29943</v>
      </c>
      <c r="G41" s="11">
        <v>35934</v>
      </c>
    </row>
    <row r="42" spans="1:7" ht="21.95" customHeight="1">
      <c r="A42" s="1"/>
      <c r="B42" s="2" t="s">
        <v>216</v>
      </c>
      <c r="C42" s="2" t="s">
        <v>217</v>
      </c>
      <c r="D42" s="11">
        <v>-123</v>
      </c>
      <c r="E42" s="11">
        <v>-9901</v>
      </c>
      <c r="F42" s="11">
        <v>-5998</v>
      </c>
      <c r="G42" s="11">
        <v>-8483</v>
      </c>
    </row>
    <row r="43" spans="1:7" ht="21.95" customHeight="1">
      <c r="A43" s="1"/>
      <c r="B43" s="2" t="s">
        <v>218</v>
      </c>
      <c r="C43" s="2" t="s">
        <v>219</v>
      </c>
      <c r="D43" s="11">
        <v>5465</v>
      </c>
      <c r="E43" s="11">
        <v>5228</v>
      </c>
      <c r="F43" s="11">
        <v>0</v>
      </c>
      <c r="G43" s="11">
        <v>4481</v>
      </c>
    </row>
    <row r="44" spans="1:7" ht="21.95" customHeight="1">
      <c r="A44" s="1"/>
      <c r="B44" s="2" t="s">
        <v>220</v>
      </c>
      <c r="C44" s="2" t="s">
        <v>221</v>
      </c>
      <c r="D44" s="11">
        <v>9543</v>
      </c>
      <c r="E44" s="11">
        <v>11151</v>
      </c>
      <c r="F44" s="11">
        <v>9958</v>
      </c>
      <c r="G44" s="11">
        <v>10932</v>
      </c>
    </row>
    <row r="45" spans="1:7" ht="21.95" customHeight="1">
      <c r="A45" s="1"/>
      <c r="B45" s="2" t="s">
        <v>222</v>
      </c>
      <c r="C45" s="2" t="s">
        <v>223</v>
      </c>
      <c r="D45" s="11">
        <v>-89402</v>
      </c>
      <c r="E45" s="11">
        <v>-77550</v>
      </c>
      <c r="F45" s="11">
        <v>-94949</v>
      </c>
      <c r="G45" s="11">
        <v>-90711</v>
      </c>
    </row>
    <row r="46" spans="1:7" ht="21.95" customHeight="1">
      <c r="A46" s="1"/>
      <c r="B46" s="2" t="s">
        <v>224</v>
      </c>
      <c r="C46" s="2" t="s">
        <v>225</v>
      </c>
      <c r="D46" s="11">
        <v>15943.424999999999</v>
      </c>
      <c r="E46" s="11">
        <v>15550.061</v>
      </c>
      <c r="F46" s="11">
        <v>15116.786</v>
      </c>
      <c r="G46" s="11">
        <v>14773.26</v>
      </c>
    </row>
    <row r="47" spans="1:7" ht="21.95" customHeight="1">
      <c r="A47" s="1"/>
      <c r="B47" s="2" t="s">
        <v>226</v>
      </c>
      <c r="C47" s="2" t="s">
        <v>227</v>
      </c>
      <c r="D47" s="11">
        <v>64849</v>
      </c>
      <c r="E47" s="11">
        <v>73812</v>
      </c>
      <c r="F47" s="11">
        <v>83276</v>
      </c>
      <c r="G47" s="11">
        <v>93568</v>
      </c>
    </row>
    <row r="48" spans="1:7" ht="21.95" customHeight="1">
      <c r="A48" s="1"/>
      <c r="B48" s="2" t="s">
        <v>228</v>
      </c>
      <c r="C48" s="2" t="s">
        <v>229</v>
      </c>
      <c r="D48" s="10"/>
      <c r="E48" s="10"/>
      <c r="F48" s="10"/>
      <c r="G48" s="10"/>
    </row>
    <row r="49" spans="1:7" ht="21.95" customHeight="1">
      <c r="A49" s="1"/>
      <c r="B49" s="2" t="s">
        <v>230</v>
      </c>
      <c r="C49" s="2" t="s">
        <v>231</v>
      </c>
      <c r="D49" s="10"/>
      <c r="E49" s="10"/>
      <c r="F49" s="10"/>
      <c r="G49" s="10"/>
    </row>
    <row r="50" spans="1:7" ht="21.95" customHeight="1">
      <c r="A50" s="1"/>
      <c r="B50" s="2" t="s">
        <v>232</v>
      </c>
      <c r="C50" s="2" t="s">
        <v>233</v>
      </c>
      <c r="D50" s="10"/>
      <c r="E50" s="10"/>
      <c r="F50" s="10"/>
      <c r="G50" s="10"/>
    </row>
    <row r="51" spans="1:7" ht="21.95" customHeight="1">
      <c r="A51" s="1"/>
      <c r="B51" s="2" t="s">
        <v>234</v>
      </c>
      <c r="C51" s="2" t="s">
        <v>235</v>
      </c>
      <c r="D51" s="10"/>
      <c r="E51" s="10"/>
      <c r="F51" s="10"/>
      <c r="G51" s="10"/>
    </row>
    <row r="52" spans="1:7" ht="21.95" customHeight="1">
      <c r="A52" s="1"/>
      <c r="B52" s="2" t="s">
        <v>236</v>
      </c>
      <c r="C52" s="2" t="s">
        <v>237</v>
      </c>
      <c r="D52" s="11">
        <v>120805</v>
      </c>
      <c r="E52" s="11">
        <v>100544</v>
      </c>
      <c r="F52" s="11">
        <v>91479</v>
      </c>
      <c r="G52" s="11">
        <v>77723</v>
      </c>
    </row>
    <row r="53" spans="1:7" ht="21.95" customHeight="1">
      <c r="A53" s="1"/>
      <c r="B53" s="1"/>
      <c r="C53" s="1"/>
      <c r="D53" s="1"/>
      <c r="E53" s="1"/>
      <c r="F53" s="1"/>
      <c r="G53" s="1"/>
    </row>
    <row r="54" spans="1:7" ht="21.95" customHeight="1">
      <c r="A54" s="1"/>
      <c r="B54" s="1"/>
      <c r="C54" s="1"/>
      <c r="D54" s="1"/>
      <c r="E54" s="1"/>
      <c r="F54" s="1"/>
      <c r="G54" s="1"/>
    </row>
    <row r="55" spans="1:7" ht="21.95" customHeight="1">
      <c r="A55" s="1"/>
      <c r="B55" s="1"/>
      <c r="C55" s="1"/>
      <c r="D55" s="1"/>
      <c r="E55" s="1"/>
      <c r="F55" s="1"/>
      <c r="G55" s="1"/>
    </row>
    <row r="56" spans="1:7" ht="21.95" customHeight="1">
      <c r="A56" s="1"/>
      <c r="B56" s="33" t="s">
        <v>238</v>
      </c>
      <c r="C56" s="33"/>
      <c r="D56" s="33"/>
      <c r="E56" s="33"/>
      <c r="F56" s="33"/>
      <c r="G56" s="33"/>
    </row>
    <row r="57" spans="1:7" ht="21.95" customHeight="1">
      <c r="A57" s="1"/>
      <c r="B57" s="33"/>
      <c r="C57" s="33"/>
      <c r="D57" s="33"/>
      <c r="E57" s="33"/>
      <c r="F57" s="33"/>
      <c r="G57" s="33"/>
    </row>
    <row r="58" spans="1:7" ht="21.95" customHeight="1">
      <c r="A58" s="1"/>
      <c r="B58" s="1"/>
      <c r="C58" s="1"/>
      <c r="D58" s="1"/>
      <c r="E58" s="1"/>
      <c r="F58" s="1"/>
      <c r="G58" s="1"/>
    </row>
    <row r="59" spans="1:7" ht="21.95" customHeight="1">
      <c r="A59" s="1"/>
      <c r="B59" s="1"/>
      <c r="C59" s="1"/>
      <c r="D59" s="1"/>
      <c r="E59" s="1"/>
      <c r="F59" s="1"/>
      <c r="G59" s="1"/>
    </row>
    <row r="60" spans="1:7" ht="21.95" customHeight="1">
      <c r="A60" s="1"/>
      <c r="B60" s="1"/>
      <c r="C60" s="1"/>
      <c r="D60" s="1"/>
      <c r="E60" s="1"/>
      <c r="F60" s="1"/>
      <c r="G60" s="1"/>
    </row>
    <row r="61" spans="1:7" ht="21.95" customHeight="1">
      <c r="A61" s="1"/>
      <c r="B61" s="1"/>
      <c r="C61" s="1"/>
      <c r="D61" s="1"/>
      <c r="E61" s="1"/>
      <c r="F61" s="1"/>
      <c r="G61" s="1"/>
    </row>
    <row r="62" spans="1:7" ht="21.95" customHeight="1">
      <c r="A62" s="1"/>
      <c r="B62" s="1"/>
      <c r="C62" s="1"/>
      <c r="D62" s="1"/>
      <c r="E62" s="1"/>
      <c r="F62" s="1"/>
      <c r="G62" s="1"/>
    </row>
    <row r="63" spans="1:7" ht="21.95" customHeight="1">
      <c r="A63" s="1"/>
      <c r="B63" s="1"/>
      <c r="C63" s="1"/>
      <c r="D63" s="1"/>
      <c r="E63" s="1"/>
      <c r="F63" s="1"/>
      <c r="G63" s="1"/>
    </row>
    <row r="64" spans="1:7" ht="21.95" customHeight="1">
      <c r="A64" s="1"/>
      <c r="B64" s="1"/>
      <c r="C64" s="1"/>
      <c r="D64" s="1"/>
      <c r="E64" s="1"/>
      <c r="F64" s="1"/>
      <c r="G64" s="1"/>
    </row>
    <row r="65" spans="1:7" ht="21.95" customHeight="1">
      <c r="A65" s="1"/>
      <c r="B65" s="1"/>
      <c r="C65" s="1"/>
      <c r="D65" s="1"/>
      <c r="E65" s="1"/>
      <c r="F65" s="1"/>
      <c r="G65" s="1"/>
    </row>
  </sheetData>
  <mergeCells count="4">
    <mergeCell ref="B2:G2"/>
    <mergeCell ref="B3:G3"/>
    <mergeCell ref="B4:G5"/>
    <mergeCell ref="B56:G57"/>
  </mergeCells>
  <pageMargins left="0.7" right="0.7" top="0.75" bottom="0.75" header="0.3" footer="0.3"/>
  <pageSetup scale="8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5C7AE"/>
    <pageSetUpPr fitToPage="1"/>
  </sheetPr>
  <dimension ref="A1:H181"/>
  <sheetViews>
    <sheetView showGridLines="0" zoomScale="85" zoomScaleNormal="85" workbookViewId="0">
      <pane ySplit="7" topLeftCell="A8" activePane="bottomLeft" state="frozen"/>
      <selection pane="bottomLeft"/>
    </sheetView>
  </sheetViews>
  <sheetFormatPr defaultRowHeight="14.25"/>
  <cols>
    <col min="1" max="1" width="1.125" customWidth="1"/>
    <col min="2" max="2" width="52" customWidth="1"/>
    <col min="3" max="3" width="3" customWidth="1"/>
    <col min="4" max="8" width="21" customWidth="1"/>
  </cols>
  <sheetData>
    <row r="1" spans="1:8" ht="21.95" customHeight="1">
      <c r="A1" s="1"/>
      <c r="B1" s="1"/>
      <c r="C1" s="1"/>
      <c r="D1" s="1"/>
      <c r="E1" s="1"/>
      <c r="F1" s="1"/>
      <c r="G1" s="1"/>
      <c r="H1" s="1"/>
    </row>
    <row r="2" spans="1:8" ht="30" customHeight="1">
      <c r="A2" s="1"/>
      <c r="B2" s="30" t="s">
        <v>239</v>
      </c>
      <c r="C2" s="30"/>
      <c r="D2" s="30"/>
      <c r="E2" s="30"/>
      <c r="F2" s="30"/>
      <c r="G2" s="30"/>
      <c r="H2" s="30"/>
    </row>
    <row r="3" spans="1:8" ht="21.95" customHeight="1">
      <c r="A3" s="1"/>
      <c r="B3" s="31" t="s">
        <v>240</v>
      </c>
      <c r="C3" s="31"/>
      <c r="D3" s="31"/>
      <c r="E3" s="31"/>
      <c r="F3" s="31"/>
      <c r="G3" s="31"/>
      <c r="H3" s="31"/>
    </row>
    <row r="4" spans="1:8" ht="21.95" customHeight="1">
      <c r="A4" s="1"/>
      <c r="B4" s="33" t="s">
        <v>241</v>
      </c>
      <c r="C4" s="33"/>
      <c r="D4" s="33"/>
      <c r="E4" s="33"/>
      <c r="F4" s="33"/>
      <c r="G4" s="33"/>
      <c r="H4" s="33"/>
    </row>
    <row r="5" spans="1:8" ht="21.95" customHeight="1">
      <c r="A5" s="1"/>
      <c r="B5" s="33"/>
      <c r="C5" s="33"/>
      <c r="D5" s="33"/>
      <c r="E5" s="33"/>
      <c r="F5" s="33"/>
      <c r="G5" s="33"/>
      <c r="H5" s="33"/>
    </row>
    <row r="6" spans="1:8" ht="21.95" customHeight="1">
      <c r="A6" s="1"/>
      <c r="B6" s="1"/>
      <c r="C6" s="1"/>
      <c r="D6" s="1"/>
      <c r="E6" s="1"/>
      <c r="F6" s="1"/>
      <c r="G6" s="1"/>
      <c r="H6" s="1"/>
    </row>
    <row r="7" spans="1:8" ht="24.95" customHeight="1">
      <c r="A7" s="1"/>
      <c r="B7" s="32" t="s">
        <v>242</v>
      </c>
      <c r="C7" s="32" t="s">
        <v>242</v>
      </c>
      <c r="D7" s="32" t="s">
        <v>242</v>
      </c>
      <c r="E7" s="32" t="s">
        <v>242</v>
      </c>
      <c r="F7" s="32" t="s">
        <v>242</v>
      </c>
      <c r="G7" s="32" t="s">
        <v>242</v>
      </c>
      <c r="H7" s="32" t="s">
        <v>242</v>
      </c>
    </row>
    <row r="8" spans="1:8" ht="21.95" customHeight="1">
      <c r="A8" s="1"/>
      <c r="B8" s="1"/>
      <c r="C8" s="1"/>
      <c r="D8" s="1"/>
      <c r="E8" s="1"/>
      <c r="F8" s="1"/>
      <c r="G8" s="1"/>
      <c r="H8" s="1"/>
    </row>
    <row r="9" spans="1:8" ht="32.1" customHeight="1">
      <c r="A9" s="1"/>
      <c r="B9" s="3" t="s">
        <v>243</v>
      </c>
      <c r="C9" s="1"/>
      <c r="D9" s="3" t="s">
        <v>155</v>
      </c>
      <c r="E9" s="3" t="s">
        <v>156</v>
      </c>
      <c r="F9" s="3" t="s">
        <v>157</v>
      </c>
      <c r="G9" s="3" t="s">
        <v>158</v>
      </c>
      <c r="H9" s="1"/>
    </row>
    <row r="10" spans="1:8" ht="21.95" customHeight="1">
      <c r="A10" s="1"/>
      <c r="B10" s="2" t="s">
        <v>244</v>
      </c>
      <c r="C10" s="1"/>
      <c r="D10" s="27">
        <v>16215963000</v>
      </c>
      <c r="E10" s="27">
        <v>15744231000</v>
      </c>
      <c r="F10" s="27">
        <v>15343783000</v>
      </c>
      <c r="G10" s="27">
        <v>14948500000</v>
      </c>
      <c r="H10" s="1"/>
    </row>
    <row r="11" spans="1:8" ht="21.95" customHeight="1">
      <c r="A11" s="1"/>
      <c r="B11" s="2" t="s">
        <v>245</v>
      </c>
      <c r="C11" s="1"/>
      <c r="D11" s="28">
        <v>6.15</v>
      </c>
      <c r="E11" s="28">
        <v>6.16</v>
      </c>
      <c r="F11" s="28">
        <v>6.11</v>
      </c>
      <c r="G11" s="28">
        <v>7.49</v>
      </c>
      <c r="H11" s="1"/>
    </row>
    <row r="12" spans="1:8" ht="21.95" customHeight="1">
      <c r="A12" s="1"/>
      <c r="B12" s="2" t="s">
        <v>246</v>
      </c>
      <c r="C12" s="1"/>
      <c r="D12" s="27">
        <v>223546000000</v>
      </c>
      <c r="E12" s="27">
        <v>214137000000</v>
      </c>
      <c r="F12" s="27">
        <v>210352000000</v>
      </c>
      <c r="G12" s="27">
        <v>220960000000</v>
      </c>
      <c r="H12" s="1"/>
    </row>
    <row r="13" spans="1:8" ht="21.95" customHeight="1">
      <c r="A13" s="1"/>
      <c r="B13" s="2" t="s">
        <v>247</v>
      </c>
      <c r="C13" s="1"/>
      <c r="D13" s="27">
        <v>16325819000</v>
      </c>
      <c r="E13" s="27">
        <v>15812547000</v>
      </c>
      <c r="F13" s="27">
        <v>15408095000</v>
      </c>
      <c r="G13" s="27">
        <v>15004697000</v>
      </c>
      <c r="H13" s="1"/>
    </row>
    <row r="14" spans="1:8" ht="21.95" customHeight="1">
      <c r="A14" s="1"/>
      <c r="B14" s="2" t="s">
        <v>248</v>
      </c>
      <c r="C14" s="1"/>
      <c r="D14" s="28">
        <v>6.11</v>
      </c>
      <c r="E14" s="28">
        <v>6.13</v>
      </c>
      <c r="F14" s="28">
        <v>6.08</v>
      </c>
      <c r="G14" s="28">
        <v>7.46</v>
      </c>
      <c r="H14" s="1"/>
    </row>
    <row r="15" spans="1:8" ht="21.95" customHeight="1">
      <c r="A15" s="1"/>
      <c r="B15" s="2" t="s">
        <v>249</v>
      </c>
      <c r="C15" s="1"/>
      <c r="D15" s="27">
        <v>99803000000</v>
      </c>
      <c r="E15" s="27">
        <v>96995000000</v>
      </c>
      <c r="F15" s="27">
        <v>93736000000</v>
      </c>
      <c r="G15" s="27">
        <v>112010000000</v>
      </c>
      <c r="H15" s="1"/>
    </row>
    <row r="16" spans="1:8" ht="21.95" customHeight="1">
      <c r="A16" s="1"/>
      <c r="B16" s="2" t="s">
        <v>250</v>
      </c>
      <c r="C16" s="1"/>
      <c r="D16" s="27">
        <v>119437000000</v>
      </c>
      <c r="E16" s="27">
        <v>114301000000</v>
      </c>
      <c r="F16" s="27">
        <v>123216000000</v>
      </c>
      <c r="G16" s="27">
        <v>133050000000</v>
      </c>
      <c r="H16" s="1"/>
    </row>
    <row r="17" spans="1:8" ht="21.95" customHeight="1">
      <c r="A17" s="1"/>
      <c r="B17" s="2" t="s">
        <v>62</v>
      </c>
      <c r="C17" s="1"/>
      <c r="D17" s="27">
        <v>130541000000</v>
      </c>
      <c r="E17" s="27">
        <v>125820000000</v>
      </c>
      <c r="F17" s="27">
        <v>134661000000</v>
      </c>
      <c r="G17" s="27">
        <v>144748000000</v>
      </c>
      <c r="H17" s="1"/>
    </row>
    <row r="18" spans="1:8" ht="21.95" customHeight="1">
      <c r="A18" s="1"/>
      <c r="B18" s="2" t="s">
        <v>251</v>
      </c>
      <c r="C18" s="1"/>
      <c r="D18" s="27">
        <v>170782000000</v>
      </c>
      <c r="E18" s="27">
        <v>169148000000</v>
      </c>
      <c r="F18" s="27">
        <v>180683000000</v>
      </c>
      <c r="G18" s="27">
        <v>195201000000</v>
      </c>
      <c r="H18" s="1"/>
    </row>
    <row r="19" spans="1:8" ht="21.95" customHeight="1">
      <c r="A19" s="1"/>
      <c r="B19" s="2" t="s">
        <v>252</v>
      </c>
      <c r="C19" s="1"/>
      <c r="D19" s="27">
        <v>2931000000</v>
      </c>
      <c r="E19" s="27">
        <v>3933000000</v>
      </c>
      <c r="F19" s="2"/>
      <c r="G19" s="2"/>
      <c r="H19" s="1"/>
    </row>
    <row r="20" spans="1:8" ht="21.95" customHeight="1">
      <c r="A20" s="1"/>
      <c r="B20" s="2" t="s">
        <v>253</v>
      </c>
      <c r="C20" s="1"/>
      <c r="D20" s="27">
        <v>2931000000</v>
      </c>
      <c r="E20" s="27">
        <v>3933000000</v>
      </c>
      <c r="F20" s="2"/>
      <c r="G20" s="2"/>
      <c r="H20" s="1"/>
    </row>
    <row r="21" spans="1:8" ht="21.95" customHeight="1">
      <c r="A21" s="1"/>
      <c r="B21" s="2" t="s">
        <v>254</v>
      </c>
      <c r="C21" s="1"/>
      <c r="D21" s="27">
        <v>2825000000</v>
      </c>
      <c r="E21" s="27">
        <v>3750000000</v>
      </c>
      <c r="F21" s="2"/>
      <c r="G21" s="2"/>
      <c r="H21" s="1"/>
    </row>
    <row r="22" spans="1:8" ht="21.95" customHeight="1">
      <c r="A22" s="1"/>
      <c r="B22" s="2" t="s">
        <v>255</v>
      </c>
      <c r="C22" s="1"/>
      <c r="D22" s="27">
        <v>2825000000</v>
      </c>
      <c r="E22" s="27">
        <v>3750000000</v>
      </c>
      <c r="F22" s="2"/>
      <c r="G22" s="2"/>
      <c r="H22" s="1"/>
    </row>
    <row r="23" spans="1:8" ht="21.95" customHeight="1">
      <c r="A23" s="1"/>
      <c r="B23" s="2" t="s">
        <v>256</v>
      </c>
      <c r="C23" s="1"/>
      <c r="D23" s="27">
        <v>99803000000</v>
      </c>
      <c r="E23" s="27">
        <v>96995000000</v>
      </c>
      <c r="F23" s="27">
        <v>93736000000</v>
      </c>
      <c r="G23" s="27">
        <v>112010000000</v>
      </c>
      <c r="H23" s="1"/>
    </row>
    <row r="24" spans="1:8" ht="21.95" customHeight="1">
      <c r="A24" s="1"/>
      <c r="B24" s="2" t="s">
        <v>257</v>
      </c>
      <c r="C24" s="1"/>
      <c r="D24" s="27">
        <v>99803000000</v>
      </c>
      <c r="E24" s="27">
        <v>96995000000</v>
      </c>
      <c r="F24" s="27">
        <v>93736000000</v>
      </c>
      <c r="G24" s="27">
        <v>112010000000</v>
      </c>
      <c r="H24" s="1"/>
    </row>
    <row r="25" spans="1:8" ht="21.95" customHeight="1">
      <c r="A25" s="1"/>
      <c r="B25" s="2" t="s">
        <v>258</v>
      </c>
      <c r="C25" s="1"/>
      <c r="D25" s="27">
        <v>99803000000</v>
      </c>
      <c r="E25" s="27">
        <v>96995000000</v>
      </c>
      <c r="F25" s="27">
        <v>93736000000</v>
      </c>
      <c r="G25" s="27">
        <v>112010000000</v>
      </c>
      <c r="H25" s="1"/>
    </row>
    <row r="26" spans="1:8" ht="30" customHeight="1">
      <c r="A26" s="1"/>
      <c r="B26" s="29" t="s">
        <v>259</v>
      </c>
      <c r="C26" s="1"/>
      <c r="D26" s="27">
        <v>99803000000</v>
      </c>
      <c r="E26" s="27">
        <v>96995000000</v>
      </c>
      <c r="F26" s="27">
        <v>93736000000</v>
      </c>
      <c r="G26" s="27">
        <v>112010000000</v>
      </c>
      <c r="H26" s="1"/>
    </row>
    <row r="27" spans="1:8" ht="30" customHeight="1">
      <c r="A27" s="1"/>
      <c r="B27" s="29" t="s">
        <v>260</v>
      </c>
      <c r="C27" s="1"/>
      <c r="D27" s="27">
        <v>99803000000</v>
      </c>
      <c r="E27" s="27">
        <v>96995000000</v>
      </c>
      <c r="F27" s="27">
        <v>93736000000</v>
      </c>
      <c r="G27" s="27">
        <v>112010000000</v>
      </c>
      <c r="H27" s="1"/>
    </row>
    <row r="28" spans="1:8" ht="21.95" customHeight="1">
      <c r="A28" s="1"/>
      <c r="B28" s="2" t="s">
        <v>261</v>
      </c>
      <c r="C28" s="1"/>
      <c r="D28" s="27">
        <v>99803000000</v>
      </c>
      <c r="E28" s="27">
        <v>96995000000</v>
      </c>
      <c r="F28" s="27">
        <v>93736000000</v>
      </c>
      <c r="G28" s="27">
        <v>112010000000</v>
      </c>
      <c r="H28" s="1"/>
    </row>
    <row r="29" spans="1:8" ht="21.95" customHeight="1">
      <c r="A29" s="1"/>
      <c r="B29" s="2" t="s">
        <v>262</v>
      </c>
      <c r="C29" s="1"/>
      <c r="D29" s="27">
        <v>-106000000</v>
      </c>
      <c r="E29" s="27">
        <v>-183000000</v>
      </c>
      <c r="F29" s="2"/>
      <c r="G29" s="2"/>
      <c r="H29" s="1"/>
    </row>
    <row r="30" spans="1:8" ht="21.95" customHeight="1">
      <c r="A30" s="1"/>
      <c r="B30" s="2" t="s">
        <v>263</v>
      </c>
      <c r="C30" s="1"/>
      <c r="D30" s="27">
        <v>-106000000</v>
      </c>
      <c r="E30" s="27">
        <v>-183000000</v>
      </c>
      <c r="F30" s="2"/>
      <c r="G30" s="2"/>
      <c r="H30" s="1"/>
    </row>
    <row r="31" spans="1:8" ht="21.95" customHeight="1">
      <c r="A31" s="1"/>
      <c r="B31" s="2" t="s">
        <v>264</v>
      </c>
      <c r="C31" s="1"/>
      <c r="D31" s="27">
        <v>130541000000</v>
      </c>
      <c r="E31" s="27">
        <v>125820000000</v>
      </c>
      <c r="F31" s="27">
        <v>134661000000</v>
      </c>
      <c r="G31" s="27">
        <v>144748000000</v>
      </c>
      <c r="H31" s="1"/>
    </row>
    <row r="32" spans="1:8" ht="21.95" customHeight="1">
      <c r="A32" s="1"/>
      <c r="B32" s="2" t="s">
        <v>265</v>
      </c>
      <c r="C32" s="1"/>
      <c r="D32" s="27">
        <v>99803000000</v>
      </c>
      <c r="E32" s="27">
        <v>96995000000</v>
      </c>
      <c r="F32" s="27">
        <v>93736000000</v>
      </c>
      <c r="G32" s="27">
        <v>112010000000</v>
      </c>
      <c r="H32" s="1"/>
    </row>
    <row r="33" spans="1:8" ht="21.95" customHeight="1">
      <c r="A33" s="1"/>
      <c r="B33" s="2" t="s">
        <v>266</v>
      </c>
      <c r="C33" s="1"/>
      <c r="D33" s="27">
        <v>51345000000</v>
      </c>
      <c r="E33" s="27">
        <v>54847000000</v>
      </c>
      <c r="F33" s="27">
        <v>57467000000</v>
      </c>
      <c r="G33" s="27">
        <v>62151000000</v>
      </c>
      <c r="H33" s="1"/>
    </row>
    <row r="34" spans="1:8" ht="21.95" customHeight="1">
      <c r="A34" s="1"/>
      <c r="B34" s="2" t="s">
        <v>267</v>
      </c>
      <c r="C34" s="1"/>
      <c r="D34" s="27">
        <v>119437000000</v>
      </c>
      <c r="E34" s="27">
        <v>114301000000</v>
      </c>
      <c r="F34" s="27">
        <v>123216000000</v>
      </c>
      <c r="G34" s="27">
        <v>133050000000</v>
      </c>
      <c r="H34" s="1"/>
    </row>
    <row r="35" spans="1:8" ht="21.95" customHeight="1">
      <c r="A35" s="1"/>
      <c r="B35" s="2" t="s">
        <v>268</v>
      </c>
      <c r="C35" s="1"/>
      <c r="D35" s="27">
        <v>394328000000</v>
      </c>
      <c r="E35" s="27">
        <v>383285000000</v>
      </c>
      <c r="F35" s="27">
        <v>391035000000</v>
      </c>
      <c r="G35" s="27">
        <v>416161000000</v>
      </c>
      <c r="H35" s="1"/>
    </row>
    <row r="36" spans="1:8" ht="21.95" customHeight="1">
      <c r="A36" s="1"/>
      <c r="B36" s="2" t="s">
        <v>269</v>
      </c>
      <c r="C36" s="1"/>
      <c r="D36" s="27">
        <v>-334000000</v>
      </c>
      <c r="E36" s="27">
        <v>-565000000</v>
      </c>
      <c r="F36" s="27">
        <v>269000000</v>
      </c>
      <c r="G36" s="27">
        <v>-321000000</v>
      </c>
      <c r="H36" s="1"/>
    </row>
    <row r="37" spans="1:8" ht="21.95" customHeight="1">
      <c r="A37" s="1"/>
      <c r="B37" s="2" t="s">
        <v>270</v>
      </c>
      <c r="C37" s="1"/>
      <c r="D37" s="27">
        <v>-334000000</v>
      </c>
      <c r="E37" s="27">
        <v>-565000000</v>
      </c>
      <c r="F37" s="27">
        <v>269000000</v>
      </c>
      <c r="G37" s="27">
        <v>-321000000</v>
      </c>
      <c r="H37" s="1"/>
    </row>
    <row r="38" spans="1:8" ht="21.95" customHeight="1">
      <c r="A38" s="1"/>
      <c r="B38" s="2" t="s">
        <v>271</v>
      </c>
      <c r="C38" s="1"/>
      <c r="D38" s="27">
        <v>119103000000</v>
      </c>
      <c r="E38" s="27">
        <v>113736000000</v>
      </c>
      <c r="F38" s="27">
        <v>123485000000</v>
      </c>
      <c r="G38" s="27">
        <v>132729000000</v>
      </c>
      <c r="H38" s="1"/>
    </row>
    <row r="39" spans="1:8" ht="21.95" customHeight="1">
      <c r="A39" s="1"/>
      <c r="B39" s="2" t="s">
        <v>272</v>
      </c>
      <c r="C39" s="1"/>
      <c r="D39" s="27">
        <v>223546000000</v>
      </c>
      <c r="E39" s="27">
        <v>214137000000</v>
      </c>
      <c r="F39" s="27">
        <v>210352000000</v>
      </c>
      <c r="G39" s="27">
        <v>220960000000</v>
      </c>
      <c r="H39" s="1"/>
    </row>
    <row r="40" spans="1:8" ht="21.95" customHeight="1">
      <c r="A40" s="1"/>
      <c r="B40" s="2" t="s">
        <v>273</v>
      </c>
      <c r="C40" s="1"/>
      <c r="D40" s="27">
        <v>11104000000</v>
      </c>
      <c r="E40" s="27">
        <v>11519000000</v>
      </c>
      <c r="F40" s="27">
        <v>11445000000</v>
      </c>
      <c r="G40" s="27">
        <v>11698000000</v>
      </c>
      <c r="H40" s="1"/>
    </row>
    <row r="41" spans="1:8" ht="21.95" customHeight="1">
      <c r="A41" s="1"/>
      <c r="B41" s="2" t="s">
        <v>274</v>
      </c>
      <c r="C41" s="1"/>
      <c r="D41" s="27">
        <v>26251000000</v>
      </c>
      <c r="E41" s="27">
        <v>29915000000</v>
      </c>
      <c r="F41" s="27">
        <v>31370000000</v>
      </c>
      <c r="G41" s="27">
        <v>34550000000</v>
      </c>
      <c r="H41" s="1"/>
    </row>
    <row r="42" spans="1:8" ht="21.95" customHeight="1">
      <c r="A42" s="1"/>
      <c r="B42" s="2" t="s">
        <v>275</v>
      </c>
      <c r="C42" s="1"/>
      <c r="D42" s="27">
        <v>25094000000</v>
      </c>
      <c r="E42" s="27">
        <v>24932000000</v>
      </c>
      <c r="F42" s="27">
        <v>26097000000</v>
      </c>
      <c r="G42" s="27">
        <v>27601000000</v>
      </c>
      <c r="H42" s="1"/>
    </row>
    <row r="43" spans="1:8" ht="21.95" customHeight="1">
      <c r="A43" s="1"/>
      <c r="B43" s="2" t="s">
        <v>276</v>
      </c>
      <c r="C43" s="1"/>
      <c r="D43" s="27">
        <v>0</v>
      </c>
      <c r="E43" s="27">
        <v>0</v>
      </c>
      <c r="F43" s="27">
        <v>0</v>
      </c>
      <c r="G43" s="27">
        <v>0</v>
      </c>
      <c r="H43" s="1"/>
    </row>
    <row r="44" spans="1:8" ht="21.95" customHeight="1">
      <c r="A44" s="1"/>
      <c r="B44" s="2" t="s">
        <v>277</v>
      </c>
      <c r="C44" s="1"/>
      <c r="D44" s="27">
        <v>19300000000</v>
      </c>
      <c r="E44" s="27">
        <v>16741000000</v>
      </c>
      <c r="F44" s="27">
        <v>29749000000</v>
      </c>
      <c r="G44" s="27">
        <v>20719000000</v>
      </c>
      <c r="H44" s="1"/>
    </row>
    <row r="45" spans="1:8" ht="21.95" customHeight="1">
      <c r="A45" s="1"/>
      <c r="B45" s="2" t="s">
        <v>278</v>
      </c>
      <c r="C45" s="1"/>
      <c r="D45" s="28">
        <v>0.16200000000000001</v>
      </c>
      <c r="E45" s="28">
        <v>0.14699999999999999</v>
      </c>
      <c r="F45" s="28">
        <v>0.24099999999999999</v>
      </c>
      <c r="G45" s="28">
        <v>0.156</v>
      </c>
      <c r="H45" s="1"/>
    </row>
    <row r="46" spans="1:8" ht="21.95" customHeight="1">
      <c r="A46" s="1"/>
      <c r="B46" s="2" t="s">
        <v>279</v>
      </c>
      <c r="C46" s="1"/>
      <c r="D46" s="27">
        <v>274891000000</v>
      </c>
      <c r="E46" s="27">
        <v>268984000000</v>
      </c>
      <c r="F46" s="27">
        <v>267819000000</v>
      </c>
      <c r="G46" s="27">
        <v>283111000000</v>
      </c>
      <c r="H46" s="1"/>
    </row>
    <row r="47" spans="1:8" ht="21.95" customHeight="1">
      <c r="A47" s="1"/>
      <c r="B47" s="2" t="s">
        <v>280</v>
      </c>
      <c r="C47" s="1"/>
      <c r="D47" s="27">
        <v>119437000000</v>
      </c>
      <c r="E47" s="27">
        <v>114301000000</v>
      </c>
      <c r="F47" s="27">
        <v>123216000000</v>
      </c>
      <c r="G47" s="27">
        <v>133050000000</v>
      </c>
      <c r="H47" s="1"/>
    </row>
    <row r="48" spans="1:8" ht="21.95" customHeight="1">
      <c r="A48" s="1"/>
      <c r="B48" s="2" t="s">
        <v>281</v>
      </c>
      <c r="C48" s="1"/>
      <c r="D48" s="27">
        <v>394328000000</v>
      </c>
      <c r="E48" s="27">
        <v>383285000000</v>
      </c>
      <c r="F48" s="27">
        <v>391035000000</v>
      </c>
      <c r="G48" s="27">
        <v>416161000000</v>
      </c>
      <c r="H48" s="1"/>
    </row>
    <row r="49" spans="1:8" ht="21.95" customHeight="1">
      <c r="A49" s="1"/>
      <c r="B49" s="1"/>
      <c r="C49" s="1"/>
      <c r="D49" s="1"/>
      <c r="E49" s="1"/>
      <c r="F49" s="1"/>
      <c r="G49" s="1"/>
      <c r="H49" s="1"/>
    </row>
    <row r="50" spans="1:8" ht="21.95" customHeight="1">
      <c r="A50" s="1"/>
      <c r="B50" s="1"/>
      <c r="C50" s="1"/>
      <c r="D50" s="1"/>
      <c r="E50" s="1"/>
      <c r="F50" s="1"/>
      <c r="G50" s="1"/>
      <c r="H50" s="1"/>
    </row>
    <row r="51" spans="1:8" ht="21.95" customHeight="1">
      <c r="A51" s="1"/>
      <c r="B51" s="1"/>
      <c r="C51" s="1"/>
      <c r="D51" s="1"/>
      <c r="E51" s="1"/>
      <c r="F51" s="1"/>
      <c r="G51" s="1"/>
      <c r="H51" s="1"/>
    </row>
    <row r="52" spans="1:8" ht="24.95" customHeight="1">
      <c r="A52" s="1"/>
      <c r="B52" s="32" t="s">
        <v>282</v>
      </c>
      <c r="C52" s="32" t="s">
        <v>282</v>
      </c>
      <c r="D52" s="32" t="s">
        <v>282</v>
      </c>
      <c r="E52" s="32" t="s">
        <v>282</v>
      </c>
      <c r="F52" s="32" t="s">
        <v>282</v>
      </c>
      <c r="G52" s="32" t="s">
        <v>282</v>
      </c>
      <c r="H52" s="32" t="s">
        <v>282</v>
      </c>
    </row>
    <row r="53" spans="1:8" ht="21.95" customHeight="1">
      <c r="A53" s="1"/>
      <c r="B53" s="1"/>
      <c r="C53" s="1"/>
      <c r="D53" s="1"/>
      <c r="E53" s="1"/>
      <c r="F53" s="1"/>
      <c r="G53" s="1"/>
      <c r="H53" s="1"/>
    </row>
    <row r="54" spans="1:8" ht="32.1" customHeight="1">
      <c r="A54" s="1"/>
      <c r="B54" s="3" t="s">
        <v>243</v>
      </c>
      <c r="C54" s="1"/>
      <c r="D54" s="3" t="s">
        <v>155</v>
      </c>
      <c r="E54" s="3" t="s">
        <v>156</v>
      </c>
      <c r="F54" s="3" t="s">
        <v>157</v>
      </c>
      <c r="G54" s="3" t="s">
        <v>158</v>
      </c>
      <c r="H54" s="1"/>
    </row>
    <row r="55" spans="1:8" ht="21.95" customHeight="1">
      <c r="A55" s="1"/>
      <c r="B55" s="2" t="s">
        <v>283</v>
      </c>
      <c r="C55" s="1"/>
      <c r="D55" s="27">
        <v>64115000000</v>
      </c>
      <c r="E55" s="27">
        <v>62611000000</v>
      </c>
      <c r="F55" s="27">
        <v>68960000000</v>
      </c>
      <c r="G55" s="27">
        <v>69860000000</v>
      </c>
      <c r="H55" s="1"/>
    </row>
    <row r="56" spans="1:8" ht="21.95" customHeight="1">
      <c r="A56" s="1"/>
      <c r="B56" s="2" t="s">
        <v>284</v>
      </c>
      <c r="C56" s="1"/>
      <c r="D56" s="27">
        <v>28184000000</v>
      </c>
      <c r="E56" s="27">
        <v>29508000000</v>
      </c>
      <c r="F56" s="27">
        <v>33410000000</v>
      </c>
      <c r="G56" s="27">
        <v>39777000000</v>
      </c>
      <c r="H56" s="1"/>
    </row>
    <row r="57" spans="1:8" ht="21.95" customHeight="1">
      <c r="A57" s="1"/>
      <c r="B57" s="2" t="s">
        <v>285</v>
      </c>
      <c r="C57" s="1"/>
      <c r="D57" s="27">
        <v>-72340000000</v>
      </c>
      <c r="E57" s="27">
        <v>-70884000000</v>
      </c>
      <c r="F57" s="27">
        <v>-73448000000</v>
      </c>
      <c r="G57" s="27">
        <v>-76014000000</v>
      </c>
      <c r="H57" s="1"/>
    </row>
    <row r="58" spans="1:8" ht="21.95" customHeight="1">
      <c r="A58" s="1"/>
      <c r="B58" s="2" t="s">
        <v>286</v>
      </c>
      <c r="C58" s="1"/>
      <c r="D58" s="27">
        <v>120805000000</v>
      </c>
      <c r="E58" s="27">
        <v>100544000000</v>
      </c>
      <c r="F58" s="27">
        <v>91479000000</v>
      </c>
      <c r="G58" s="27">
        <v>77723000000</v>
      </c>
      <c r="H58" s="1"/>
    </row>
    <row r="59" spans="1:8" ht="21.95" customHeight="1">
      <c r="A59" s="1"/>
      <c r="B59" s="2" t="s">
        <v>287</v>
      </c>
      <c r="C59" s="1"/>
      <c r="D59" s="27">
        <v>12411000000</v>
      </c>
      <c r="E59" s="27">
        <v>12842000000</v>
      </c>
      <c r="F59" s="2"/>
      <c r="G59" s="2"/>
      <c r="H59" s="1"/>
    </row>
    <row r="60" spans="1:8" ht="21.95" customHeight="1">
      <c r="A60" s="1"/>
      <c r="B60" s="2" t="s">
        <v>288</v>
      </c>
      <c r="C60" s="1"/>
      <c r="D60" s="27">
        <v>64849000000</v>
      </c>
      <c r="E60" s="27">
        <v>73812000000</v>
      </c>
      <c r="F60" s="27">
        <v>83276000000</v>
      </c>
      <c r="G60" s="27">
        <v>93568000000</v>
      </c>
      <c r="H60" s="1"/>
    </row>
    <row r="61" spans="1:8" ht="21.95" customHeight="1">
      <c r="A61" s="1"/>
      <c r="B61" s="2" t="s">
        <v>289</v>
      </c>
      <c r="C61" s="1"/>
      <c r="D61" s="27">
        <v>23646000000</v>
      </c>
      <c r="E61" s="27">
        <v>29965000000</v>
      </c>
      <c r="F61" s="27">
        <v>29943000000</v>
      </c>
      <c r="G61" s="27">
        <v>35934000000</v>
      </c>
      <c r="H61" s="1"/>
    </row>
    <row r="62" spans="1:8" ht="21.95" customHeight="1">
      <c r="A62" s="1"/>
      <c r="B62" s="2" t="s">
        <v>290</v>
      </c>
      <c r="C62" s="1"/>
      <c r="D62" s="27">
        <v>48304000000</v>
      </c>
      <c r="E62" s="27">
        <v>61555000000</v>
      </c>
      <c r="F62" s="27">
        <v>65171000000</v>
      </c>
      <c r="G62" s="27">
        <v>54697000000</v>
      </c>
      <c r="H62" s="1"/>
    </row>
    <row r="63" spans="1:8" ht="21.95" customHeight="1">
      <c r="A63" s="1"/>
      <c r="B63" s="2" t="s">
        <v>291</v>
      </c>
      <c r="C63" s="1"/>
      <c r="D63" s="27">
        <v>5100000000</v>
      </c>
      <c r="E63" s="27">
        <v>1606000000</v>
      </c>
      <c r="F63" s="27">
        <v>2744000000</v>
      </c>
      <c r="G63" s="27">
        <v>7667000000</v>
      </c>
      <c r="H63" s="1"/>
    </row>
    <row r="64" spans="1:8" ht="21.95" customHeight="1">
      <c r="A64" s="1"/>
      <c r="B64" s="2" t="s">
        <v>292</v>
      </c>
      <c r="C64" s="1"/>
      <c r="D64" s="27">
        <v>18546000000</v>
      </c>
      <c r="E64" s="27">
        <v>28359000000</v>
      </c>
      <c r="F64" s="27">
        <v>27199000000</v>
      </c>
      <c r="G64" s="27">
        <v>28267000000</v>
      </c>
      <c r="H64" s="1"/>
    </row>
    <row r="65" spans="1:8" ht="21.95" customHeight="1">
      <c r="A65" s="1"/>
      <c r="B65" s="2" t="s">
        <v>293</v>
      </c>
      <c r="C65" s="1"/>
      <c r="D65" s="27">
        <v>9982000000</v>
      </c>
      <c r="E65" s="27">
        <v>5985000000</v>
      </c>
      <c r="F65" s="27">
        <v>9967000000</v>
      </c>
      <c r="G65" s="27">
        <v>7979000000</v>
      </c>
      <c r="H65" s="1"/>
    </row>
    <row r="66" spans="1:8" ht="21.95" customHeight="1">
      <c r="A66" s="1"/>
      <c r="B66" s="2" t="s">
        <v>294</v>
      </c>
      <c r="C66" s="1"/>
      <c r="D66" s="27">
        <v>64849000000</v>
      </c>
      <c r="E66" s="27">
        <v>73812000000</v>
      </c>
      <c r="F66" s="27">
        <v>83276000000</v>
      </c>
      <c r="G66" s="27">
        <v>93568000000</v>
      </c>
      <c r="H66" s="1"/>
    </row>
    <row r="67" spans="1:8" ht="21.95" customHeight="1">
      <c r="A67" s="1"/>
      <c r="B67" s="2" t="s">
        <v>295</v>
      </c>
      <c r="C67" s="1"/>
      <c r="D67" s="27">
        <v>50672000000</v>
      </c>
      <c r="E67" s="27">
        <v>62146000000</v>
      </c>
      <c r="F67" s="27">
        <v>56950000000</v>
      </c>
      <c r="G67" s="27">
        <v>73733000000</v>
      </c>
      <c r="H67" s="1"/>
    </row>
    <row r="68" spans="1:8" ht="21.95" customHeight="1">
      <c r="A68" s="1"/>
      <c r="B68" s="2" t="s">
        <v>296</v>
      </c>
      <c r="C68" s="1"/>
      <c r="D68" s="2"/>
      <c r="E68" s="2"/>
      <c r="F68" s="2"/>
      <c r="G68" s="27">
        <v>8919000000</v>
      </c>
      <c r="H68" s="1"/>
    </row>
    <row r="69" spans="1:8" ht="21.95" customHeight="1">
      <c r="A69" s="1"/>
      <c r="B69" s="2" t="s">
        <v>297</v>
      </c>
      <c r="C69" s="1"/>
      <c r="D69" s="27">
        <v>135405000000</v>
      </c>
      <c r="E69" s="27">
        <v>143566000000</v>
      </c>
      <c r="F69" s="27">
        <v>152987000000</v>
      </c>
      <c r="G69" s="27">
        <v>147957000000</v>
      </c>
      <c r="H69" s="1"/>
    </row>
    <row r="70" spans="1:8" ht="21.95" customHeight="1">
      <c r="A70" s="1"/>
      <c r="B70" s="2" t="s">
        <v>298</v>
      </c>
      <c r="C70" s="1"/>
      <c r="D70" s="27">
        <v>1663000000</v>
      </c>
      <c r="E70" s="27">
        <v>1575000000</v>
      </c>
      <c r="F70" s="2"/>
      <c r="G70" s="2"/>
      <c r="H70" s="1"/>
    </row>
    <row r="71" spans="1:8" ht="21.95" customHeight="1">
      <c r="A71" s="1"/>
      <c r="B71" s="2" t="s">
        <v>299</v>
      </c>
      <c r="C71" s="1"/>
      <c r="D71" s="27">
        <v>21110000000</v>
      </c>
      <c r="E71" s="27">
        <v>15807000000</v>
      </c>
      <c r="F71" s="27">
        <v>20879000000</v>
      </c>
      <c r="G71" s="27">
        <v>20329000000</v>
      </c>
      <c r="H71" s="1"/>
    </row>
    <row r="72" spans="1:8" ht="21.95" customHeight="1">
      <c r="A72" s="1"/>
      <c r="B72" s="2" t="s">
        <v>300</v>
      </c>
      <c r="C72" s="1"/>
      <c r="D72" s="27">
        <v>22773000000</v>
      </c>
      <c r="E72" s="27">
        <v>15807000000</v>
      </c>
      <c r="F72" s="27">
        <v>20879000000</v>
      </c>
      <c r="G72" s="27">
        <v>20329000000</v>
      </c>
      <c r="H72" s="1"/>
    </row>
    <row r="73" spans="1:8" ht="21.95" customHeight="1">
      <c r="A73" s="1"/>
      <c r="B73" s="2" t="s">
        <v>301</v>
      </c>
      <c r="C73" s="1"/>
      <c r="D73" s="27">
        <v>7912000000</v>
      </c>
      <c r="E73" s="27">
        <v>8061000000</v>
      </c>
      <c r="F73" s="27">
        <v>8249000000</v>
      </c>
      <c r="G73" s="27">
        <v>9055000000</v>
      </c>
      <c r="H73" s="1"/>
    </row>
    <row r="74" spans="1:8" ht="21.95" customHeight="1">
      <c r="A74" s="1"/>
      <c r="B74" s="2" t="s">
        <v>302</v>
      </c>
      <c r="C74" s="1"/>
      <c r="D74" s="27">
        <v>7912000000</v>
      </c>
      <c r="E74" s="27">
        <v>8061000000</v>
      </c>
      <c r="F74" s="27">
        <v>8249000000</v>
      </c>
      <c r="G74" s="27">
        <v>9055000000</v>
      </c>
      <c r="H74" s="1"/>
    </row>
    <row r="75" spans="1:8" ht="21.95" customHeight="1">
      <c r="A75" s="1"/>
      <c r="B75" s="2" t="s">
        <v>303</v>
      </c>
      <c r="C75" s="1"/>
      <c r="D75" s="27">
        <v>153982000000</v>
      </c>
      <c r="E75" s="27">
        <v>145308000000</v>
      </c>
      <c r="F75" s="27">
        <v>176392000000</v>
      </c>
      <c r="G75" s="27">
        <v>165631000000</v>
      </c>
      <c r="H75" s="1"/>
    </row>
    <row r="76" spans="1:8" ht="21.95" customHeight="1">
      <c r="A76" s="1"/>
      <c r="B76" s="2" t="s">
        <v>304</v>
      </c>
      <c r="C76" s="1"/>
      <c r="D76" s="27">
        <v>-11109000000</v>
      </c>
      <c r="E76" s="27">
        <v>-11452000000</v>
      </c>
      <c r="F76" s="27">
        <v>-7172000000</v>
      </c>
      <c r="G76" s="27">
        <v>-5571000000</v>
      </c>
      <c r="H76" s="1"/>
    </row>
    <row r="77" spans="1:8" ht="21.95" customHeight="1">
      <c r="A77" s="1"/>
      <c r="B77" s="2" t="s">
        <v>305</v>
      </c>
      <c r="C77" s="1"/>
      <c r="D77" s="27">
        <v>114457000000</v>
      </c>
      <c r="E77" s="27">
        <v>114599000000</v>
      </c>
      <c r="F77" s="27">
        <v>119128000000</v>
      </c>
      <c r="G77" s="27">
        <v>125848000000</v>
      </c>
      <c r="H77" s="1"/>
    </row>
    <row r="78" spans="1:8" ht="21.95" customHeight="1">
      <c r="A78" s="1"/>
      <c r="B78" s="2" t="s">
        <v>306</v>
      </c>
      <c r="C78" s="1"/>
      <c r="D78" s="27">
        <v>6552000000</v>
      </c>
      <c r="E78" s="27">
        <v>8819000000</v>
      </c>
      <c r="F78" s="27">
        <v>26601000000</v>
      </c>
      <c r="G78" s="27">
        <v>13016000000</v>
      </c>
      <c r="H78" s="1"/>
    </row>
    <row r="79" spans="1:8" ht="21.95" customHeight="1">
      <c r="A79" s="1"/>
      <c r="B79" s="2" t="s">
        <v>73</v>
      </c>
      <c r="C79" s="1"/>
      <c r="D79" s="27">
        <v>4946000000</v>
      </c>
      <c r="E79" s="27">
        <v>6331000000</v>
      </c>
      <c r="F79" s="27">
        <v>7286000000</v>
      </c>
      <c r="G79" s="27">
        <v>5718000000</v>
      </c>
      <c r="H79" s="1"/>
    </row>
    <row r="80" spans="1:8" ht="21.95" customHeight="1">
      <c r="A80" s="1"/>
      <c r="B80" s="2" t="s">
        <v>307</v>
      </c>
      <c r="C80" s="1"/>
      <c r="D80" s="27">
        <v>170741000000</v>
      </c>
      <c r="E80" s="27">
        <v>173234000000</v>
      </c>
      <c r="F80" s="27">
        <v>163579000000</v>
      </c>
      <c r="G80" s="27">
        <v>172390000000</v>
      </c>
      <c r="H80" s="1"/>
    </row>
    <row r="81" spans="1:8" ht="21.95" customHeight="1">
      <c r="A81" s="1"/>
      <c r="B81" s="2" t="s">
        <v>308</v>
      </c>
      <c r="C81" s="1"/>
      <c r="D81" s="27">
        <v>120805000000</v>
      </c>
      <c r="E81" s="27">
        <v>100544000000</v>
      </c>
      <c r="F81" s="27">
        <v>91479000000</v>
      </c>
      <c r="G81" s="27">
        <v>77723000000</v>
      </c>
      <c r="H81" s="1"/>
    </row>
    <row r="82" spans="1:8" ht="21.95" customHeight="1">
      <c r="A82" s="1"/>
      <c r="B82" s="2" t="s">
        <v>309</v>
      </c>
      <c r="C82" s="1"/>
      <c r="D82" s="27">
        <v>120805000000</v>
      </c>
      <c r="E82" s="27">
        <v>100544000000</v>
      </c>
      <c r="F82" s="27">
        <v>91479000000</v>
      </c>
      <c r="G82" s="27">
        <v>77723000000</v>
      </c>
      <c r="H82" s="1"/>
    </row>
    <row r="83" spans="1:8" ht="21.95" customHeight="1">
      <c r="A83" s="1"/>
      <c r="B83" s="2" t="s">
        <v>310</v>
      </c>
      <c r="C83" s="1"/>
      <c r="D83" s="27">
        <v>22126000000</v>
      </c>
      <c r="E83" s="27">
        <v>23446000000</v>
      </c>
      <c r="F83" s="27">
        <v>24690000000</v>
      </c>
      <c r="G83" s="27">
        <v>27337000000</v>
      </c>
      <c r="H83" s="1"/>
    </row>
    <row r="84" spans="1:8" ht="21.95" customHeight="1">
      <c r="A84" s="1"/>
      <c r="B84" s="2" t="s">
        <v>311</v>
      </c>
      <c r="C84" s="1"/>
      <c r="D84" s="27">
        <v>11271000000</v>
      </c>
      <c r="E84" s="27">
        <v>12839000000</v>
      </c>
      <c r="F84" s="27">
        <v>14233000000</v>
      </c>
      <c r="G84" s="27">
        <v>15091000000</v>
      </c>
      <c r="H84" s="1"/>
    </row>
    <row r="85" spans="1:8" ht="21.95" customHeight="1">
      <c r="A85" s="1"/>
      <c r="B85" s="2" t="s">
        <v>312</v>
      </c>
      <c r="C85" s="1"/>
      <c r="D85" s="27">
        <v>10748000000</v>
      </c>
      <c r="E85" s="27">
        <v>11267000000</v>
      </c>
      <c r="F85" s="2"/>
      <c r="G85" s="2"/>
      <c r="H85" s="1"/>
    </row>
    <row r="86" spans="1:8" ht="21.95" customHeight="1">
      <c r="A86" s="1"/>
      <c r="B86" s="2" t="s">
        <v>313</v>
      </c>
      <c r="C86" s="1"/>
      <c r="D86" s="27">
        <v>98959000000</v>
      </c>
      <c r="E86" s="27">
        <v>95281000000</v>
      </c>
      <c r="F86" s="27">
        <v>85750000000</v>
      </c>
      <c r="G86" s="27">
        <v>78328000000</v>
      </c>
      <c r="H86" s="1"/>
    </row>
    <row r="87" spans="1:8" ht="21.95" customHeight="1">
      <c r="A87" s="1"/>
      <c r="B87" s="2" t="s">
        <v>314</v>
      </c>
      <c r="C87" s="1"/>
      <c r="D87" s="27">
        <v>109707000000</v>
      </c>
      <c r="E87" s="27">
        <v>95281000000</v>
      </c>
      <c r="F87" s="27">
        <v>85750000000</v>
      </c>
      <c r="G87" s="27">
        <v>78328000000</v>
      </c>
      <c r="H87" s="1"/>
    </row>
    <row r="88" spans="1:8" ht="21.95" customHeight="1">
      <c r="A88" s="1"/>
      <c r="B88" s="2" t="s">
        <v>315</v>
      </c>
      <c r="C88" s="1"/>
      <c r="D88" s="27">
        <v>81060000000</v>
      </c>
      <c r="E88" s="27">
        <v>78314000000</v>
      </c>
      <c r="F88" s="27">
        <v>80205000000</v>
      </c>
      <c r="G88" s="27">
        <v>83420000000</v>
      </c>
      <c r="H88" s="1"/>
    </row>
    <row r="89" spans="1:8" ht="21.95" customHeight="1">
      <c r="A89" s="1"/>
      <c r="B89" s="2" t="s">
        <v>316</v>
      </c>
      <c r="C89" s="1"/>
      <c r="D89" s="27">
        <v>96423000000</v>
      </c>
      <c r="E89" s="27">
        <v>81123000000</v>
      </c>
      <c r="F89" s="27">
        <v>76686000000</v>
      </c>
      <c r="G89" s="27">
        <v>62723000000</v>
      </c>
      <c r="H89" s="1"/>
    </row>
    <row r="90" spans="1:8" ht="21.95" customHeight="1">
      <c r="A90" s="1"/>
      <c r="B90" s="2" t="s">
        <v>317</v>
      </c>
      <c r="C90" s="1"/>
      <c r="D90" s="27">
        <v>42117000000</v>
      </c>
      <c r="E90" s="27">
        <v>43715000000</v>
      </c>
      <c r="F90" s="27">
        <v>45680000000</v>
      </c>
      <c r="G90" s="27">
        <v>49834000000</v>
      </c>
      <c r="H90" s="1"/>
    </row>
    <row r="91" spans="1:8" ht="21.95" customHeight="1">
      <c r="A91" s="1"/>
      <c r="B91" s="2" t="s">
        <v>318</v>
      </c>
      <c r="C91" s="1"/>
      <c r="D91" s="27">
        <v>50672000000</v>
      </c>
      <c r="E91" s="27">
        <v>62146000000</v>
      </c>
      <c r="F91" s="27">
        <v>56950000000</v>
      </c>
      <c r="G91" s="27">
        <v>73733000000</v>
      </c>
      <c r="H91" s="1"/>
    </row>
    <row r="92" spans="1:8" ht="21.95" customHeight="1">
      <c r="A92" s="1"/>
      <c r="B92" s="2" t="s">
        <v>319</v>
      </c>
      <c r="C92" s="1"/>
      <c r="D92" s="27">
        <v>15375000000</v>
      </c>
      <c r="E92" s="27">
        <v>17852000000</v>
      </c>
      <c r="F92" s="27">
        <v>19499000000</v>
      </c>
      <c r="G92" s="27">
        <v>20777000000</v>
      </c>
      <c r="H92" s="1"/>
    </row>
    <row r="93" spans="1:8" ht="21.95" customHeight="1">
      <c r="A93" s="1"/>
      <c r="B93" s="2" t="s">
        <v>320</v>
      </c>
      <c r="C93" s="1"/>
      <c r="D93" s="27">
        <v>15375000000</v>
      </c>
      <c r="E93" s="27">
        <v>17852000000</v>
      </c>
      <c r="F93" s="27">
        <v>19499000000</v>
      </c>
      <c r="G93" s="27">
        <v>20777000000</v>
      </c>
      <c r="H93" s="1"/>
    </row>
    <row r="94" spans="1:8" ht="21.95" customHeight="1">
      <c r="A94" s="1"/>
      <c r="B94" s="2" t="s">
        <v>321</v>
      </c>
      <c r="C94" s="1"/>
      <c r="D94" s="27">
        <v>15943425000</v>
      </c>
      <c r="E94" s="27">
        <v>15550061000</v>
      </c>
      <c r="F94" s="27">
        <v>15116786000</v>
      </c>
      <c r="G94" s="27">
        <v>14773260000</v>
      </c>
      <c r="H94" s="1"/>
    </row>
    <row r="95" spans="1:8" ht="21.95" customHeight="1">
      <c r="A95" s="1"/>
      <c r="B95" s="2" t="s">
        <v>322</v>
      </c>
      <c r="C95" s="1"/>
      <c r="D95" s="27">
        <v>21223000000</v>
      </c>
      <c r="E95" s="27">
        <v>14695000000</v>
      </c>
      <c r="F95" s="27">
        <v>14287000000</v>
      </c>
      <c r="G95" s="27">
        <v>14585000000</v>
      </c>
      <c r="H95" s="1"/>
    </row>
    <row r="96" spans="1:8" ht="21.95" customHeight="1">
      <c r="A96" s="1"/>
      <c r="B96" s="2" t="s">
        <v>323</v>
      </c>
      <c r="C96" s="1"/>
      <c r="D96" s="27">
        <v>11128000000</v>
      </c>
      <c r="E96" s="27">
        <v>9822000000</v>
      </c>
      <c r="F96" s="27">
        <v>10912000000</v>
      </c>
      <c r="G96" s="27">
        <v>12350000000</v>
      </c>
      <c r="H96" s="1"/>
    </row>
    <row r="97" spans="1:8" ht="21.95" customHeight="1">
      <c r="A97" s="1"/>
      <c r="B97" s="2" t="s">
        <v>324</v>
      </c>
      <c r="C97" s="1"/>
      <c r="D97" s="27">
        <v>52630000000</v>
      </c>
      <c r="E97" s="27">
        <v>50010000000</v>
      </c>
      <c r="F97" s="27">
        <v>44024000000</v>
      </c>
      <c r="G97" s="27">
        <v>44452000000</v>
      </c>
      <c r="H97" s="1"/>
    </row>
    <row r="98" spans="1:8" ht="21.95" customHeight="1">
      <c r="A98" s="1"/>
      <c r="B98" s="2" t="s">
        <v>325</v>
      </c>
      <c r="C98" s="1"/>
      <c r="D98" s="27">
        <v>-11109000000</v>
      </c>
      <c r="E98" s="27">
        <v>-11452000000</v>
      </c>
      <c r="F98" s="27">
        <v>-7172000000</v>
      </c>
      <c r="G98" s="27">
        <v>-5571000000</v>
      </c>
      <c r="H98" s="1"/>
    </row>
    <row r="99" spans="1:8" ht="21.95" customHeight="1">
      <c r="A99" s="1"/>
      <c r="B99" s="2" t="s">
        <v>326</v>
      </c>
      <c r="C99" s="1"/>
      <c r="D99" s="27">
        <v>120805000000</v>
      </c>
      <c r="E99" s="2"/>
      <c r="F99" s="2"/>
      <c r="G99" s="2"/>
      <c r="H99" s="1"/>
    </row>
    <row r="100" spans="1:8" ht="21.95" customHeight="1">
      <c r="A100" s="1"/>
      <c r="B100" s="2" t="s">
        <v>327</v>
      </c>
      <c r="C100" s="1"/>
      <c r="D100" s="27">
        <v>39053000000</v>
      </c>
      <c r="E100" s="27">
        <v>46906000000</v>
      </c>
      <c r="F100" s="27">
        <v>55335000000</v>
      </c>
      <c r="G100" s="27">
        <v>62950000000</v>
      </c>
      <c r="H100" s="1"/>
    </row>
    <row r="101" spans="1:8" ht="21.95" customHeight="1">
      <c r="A101" s="1"/>
      <c r="B101" s="2" t="s">
        <v>328</v>
      </c>
      <c r="C101" s="1"/>
      <c r="D101" s="27">
        <v>21737000000</v>
      </c>
      <c r="E101" s="27">
        <v>34391000000</v>
      </c>
      <c r="F101" s="27">
        <v>45888000000</v>
      </c>
      <c r="G101" s="27">
        <v>41549000000</v>
      </c>
      <c r="H101" s="1"/>
    </row>
    <row r="102" spans="1:8" ht="21.95" customHeight="1">
      <c r="A102" s="1"/>
      <c r="B102" s="2" t="s">
        <v>329</v>
      </c>
      <c r="C102" s="1"/>
      <c r="D102" s="27">
        <v>10417000000</v>
      </c>
      <c r="E102" s="27">
        <v>10661000000</v>
      </c>
      <c r="F102" s="2"/>
      <c r="G102" s="2"/>
      <c r="H102" s="1"/>
    </row>
    <row r="103" spans="1:8" ht="21.95" customHeight="1">
      <c r="A103" s="1"/>
      <c r="B103" s="2" t="s">
        <v>330</v>
      </c>
      <c r="C103" s="1"/>
      <c r="D103" s="27">
        <v>32748000000</v>
      </c>
      <c r="E103" s="27">
        <v>31477000000</v>
      </c>
      <c r="F103" s="27">
        <v>32833000000</v>
      </c>
      <c r="G103" s="27">
        <v>33180000000</v>
      </c>
      <c r="H103" s="1"/>
    </row>
    <row r="104" spans="1:8" ht="21.95" customHeight="1">
      <c r="A104" s="1"/>
      <c r="B104" s="2" t="s">
        <v>331</v>
      </c>
      <c r="C104" s="1"/>
      <c r="D104" s="27">
        <v>24658000000</v>
      </c>
      <c r="E104" s="27">
        <v>31590000000</v>
      </c>
      <c r="F104" s="27">
        <v>35228000000</v>
      </c>
      <c r="G104" s="27">
        <v>18763000000</v>
      </c>
      <c r="H104" s="1"/>
    </row>
    <row r="105" spans="1:8" ht="21.95" customHeight="1">
      <c r="A105" s="1"/>
      <c r="B105" s="2" t="s">
        <v>332</v>
      </c>
      <c r="C105" s="1"/>
      <c r="D105" s="27">
        <v>70667000000</v>
      </c>
      <c r="E105" s="27">
        <v>71430000000</v>
      </c>
      <c r="F105" s="27">
        <v>95561000000</v>
      </c>
      <c r="G105" s="27">
        <v>82876000000</v>
      </c>
      <c r="H105" s="1"/>
    </row>
    <row r="106" spans="1:8" ht="21.95" customHeight="1">
      <c r="A106" s="1"/>
      <c r="B106" s="2" t="s">
        <v>333</v>
      </c>
      <c r="C106" s="1"/>
      <c r="D106" s="27">
        <v>70667000000</v>
      </c>
      <c r="E106" s="27">
        <v>71430000000</v>
      </c>
      <c r="F106" s="27">
        <v>103240000000</v>
      </c>
      <c r="G106" s="27">
        <v>91795000000</v>
      </c>
      <c r="H106" s="1"/>
    </row>
    <row r="107" spans="1:8" ht="21.95" customHeight="1">
      <c r="A107" s="1"/>
      <c r="B107" s="2" t="s">
        <v>334</v>
      </c>
      <c r="C107" s="1"/>
      <c r="D107" s="27">
        <v>0</v>
      </c>
      <c r="E107" s="27">
        <v>0</v>
      </c>
      <c r="F107" s="27">
        <v>0</v>
      </c>
      <c r="G107" s="27">
        <v>0</v>
      </c>
      <c r="H107" s="1"/>
    </row>
    <row r="108" spans="1:8" ht="21.95" customHeight="1">
      <c r="A108" s="1"/>
      <c r="B108" s="2" t="s">
        <v>335</v>
      </c>
      <c r="C108" s="1"/>
      <c r="D108" s="27">
        <v>60932000000</v>
      </c>
      <c r="E108" s="27">
        <v>60985000000</v>
      </c>
      <c r="F108" s="27">
        <v>66243000000</v>
      </c>
      <c r="G108" s="27">
        <v>72957000000</v>
      </c>
      <c r="H108" s="1"/>
    </row>
    <row r="109" spans="1:8" ht="21.95" customHeight="1">
      <c r="A109" s="1"/>
      <c r="B109" s="2" t="s">
        <v>336</v>
      </c>
      <c r="C109" s="1"/>
      <c r="D109" s="27">
        <v>-3068000000</v>
      </c>
      <c r="E109" s="27">
        <v>-214000000</v>
      </c>
      <c r="F109" s="27">
        <v>-19154000000</v>
      </c>
      <c r="G109" s="27">
        <v>-14264000000</v>
      </c>
      <c r="H109" s="1"/>
    </row>
    <row r="110" spans="1:8" ht="21.95" customHeight="1">
      <c r="A110" s="1"/>
      <c r="B110" s="2" t="s">
        <v>337</v>
      </c>
      <c r="C110" s="1"/>
      <c r="D110" s="27">
        <v>15943425000</v>
      </c>
      <c r="E110" s="27">
        <v>15550061000</v>
      </c>
      <c r="F110" s="27">
        <v>15116786000</v>
      </c>
      <c r="G110" s="27">
        <v>14773260000</v>
      </c>
      <c r="H110" s="1"/>
    </row>
    <row r="111" spans="1:8" ht="21.95" customHeight="1">
      <c r="A111" s="1"/>
      <c r="B111" s="2" t="s">
        <v>338</v>
      </c>
      <c r="C111" s="1"/>
      <c r="D111" s="27">
        <v>50672000000</v>
      </c>
      <c r="E111" s="27">
        <v>62146000000</v>
      </c>
      <c r="F111" s="27">
        <v>56950000000</v>
      </c>
      <c r="G111" s="27">
        <v>73733000000</v>
      </c>
      <c r="H111" s="1"/>
    </row>
    <row r="112" spans="1:8" ht="21.95" customHeight="1">
      <c r="A112" s="1"/>
      <c r="B112" s="2" t="s">
        <v>339</v>
      </c>
      <c r="C112" s="1"/>
      <c r="D112" s="27">
        <v>50672000000</v>
      </c>
      <c r="E112" s="27">
        <v>62146000000</v>
      </c>
      <c r="F112" s="27">
        <v>56950000000</v>
      </c>
      <c r="G112" s="27">
        <v>73733000000</v>
      </c>
      <c r="H112" s="1"/>
    </row>
    <row r="113" spans="1:8" ht="21.95" customHeight="1">
      <c r="A113" s="1"/>
      <c r="B113" s="2" t="s">
        <v>340</v>
      </c>
      <c r="C113" s="1"/>
      <c r="D113" s="27">
        <v>352755000000</v>
      </c>
      <c r="E113" s="27">
        <v>352583000000</v>
      </c>
      <c r="F113" s="27">
        <v>364980000000</v>
      </c>
      <c r="G113" s="27">
        <v>359241000000</v>
      </c>
      <c r="H113" s="1"/>
    </row>
    <row r="114" spans="1:8" ht="21.95" customHeight="1">
      <c r="A114" s="1"/>
      <c r="B114" s="2" t="s">
        <v>341</v>
      </c>
      <c r="C114" s="1"/>
      <c r="D114" s="27">
        <v>149631000000</v>
      </c>
      <c r="E114" s="27">
        <v>157427000000</v>
      </c>
      <c r="F114" s="27">
        <v>142700000000</v>
      </c>
      <c r="G114" s="27">
        <v>152061000000</v>
      </c>
      <c r="H114" s="1"/>
    </row>
    <row r="115" spans="1:8" ht="21.95" customHeight="1">
      <c r="A115" s="1"/>
      <c r="B115" s="2" t="s">
        <v>342</v>
      </c>
      <c r="C115" s="1"/>
      <c r="D115" s="27">
        <v>132480000000</v>
      </c>
      <c r="E115" s="27">
        <v>111088000000</v>
      </c>
      <c r="F115" s="27">
        <v>106629000000</v>
      </c>
      <c r="G115" s="27">
        <v>98657000000</v>
      </c>
      <c r="H115" s="1"/>
    </row>
    <row r="116" spans="1:8" ht="21.95" customHeight="1">
      <c r="A116" s="1"/>
      <c r="B116" s="2" t="s">
        <v>343</v>
      </c>
      <c r="C116" s="1"/>
      <c r="D116" s="27">
        <v>50672000000</v>
      </c>
      <c r="E116" s="27">
        <v>62146000000</v>
      </c>
      <c r="F116" s="27">
        <v>56950000000</v>
      </c>
      <c r="G116" s="27">
        <v>73733000000</v>
      </c>
      <c r="H116" s="1"/>
    </row>
    <row r="117" spans="1:8" ht="21.95" customHeight="1">
      <c r="A117" s="1"/>
      <c r="B117" s="2" t="s">
        <v>344</v>
      </c>
      <c r="C117" s="1"/>
      <c r="D117" s="27">
        <v>302083000000</v>
      </c>
      <c r="E117" s="27">
        <v>290437000000</v>
      </c>
      <c r="F117" s="27">
        <v>308030000000</v>
      </c>
      <c r="G117" s="27">
        <v>285508000000</v>
      </c>
      <c r="H117" s="1"/>
    </row>
    <row r="118" spans="1:8" ht="21.95" customHeight="1">
      <c r="A118" s="1"/>
      <c r="B118" s="2" t="s">
        <v>345</v>
      </c>
      <c r="C118" s="1"/>
      <c r="D118" s="27">
        <v>217350000000</v>
      </c>
      <c r="E118" s="27">
        <v>209017000000</v>
      </c>
      <c r="F118" s="27">
        <v>211993000000</v>
      </c>
      <c r="G118" s="27">
        <v>211284000000</v>
      </c>
      <c r="H118" s="1"/>
    </row>
    <row r="119" spans="1:8" ht="30" customHeight="1">
      <c r="A119" s="1"/>
      <c r="B119" s="29" t="s">
        <v>346</v>
      </c>
      <c r="C119" s="1"/>
      <c r="D119" s="27">
        <v>148101000000</v>
      </c>
      <c r="E119" s="27">
        <v>145129000000</v>
      </c>
      <c r="F119" s="27">
        <v>131638000000</v>
      </c>
      <c r="G119" s="27">
        <v>119877000000</v>
      </c>
      <c r="H119" s="1"/>
    </row>
    <row r="120" spans="1:8" ht="21.95" customHeight="1">
      <c r="A120" s="1"/>
      <c r="B120" s="2" t="s">
        <v>347</v>
      </c>
      <c r="C120" s="1"/>
      <c r="D120" s="27">
        <v>6552000000</v>
      </c>
      <c r="E120" s="27">
        <v>8819000000</v>
      </c>
      <c r="F120" s="27">
        <v>26601000000</v>
      </c>
      <c r="G120" s="27">
        <v>13016000000</v>
      </c>
      <c r="H120" s="1"/>
    </row>
    <row r="121" spans="1:8" ht="21.95" customHeight="1">
      <c r="A121" s="1"/>
      <c r="B121" s="2" t="s">
        <v>348</v>
      </c>
      <c r="C121" s="1"/>
      <c r="D121" s="27">
        <v>16657000000</v>
      </c>
      <c r="E121" s="27">
        <v>15457000000</v>
      </c>
      <c r="F121" s="27">
        <v>9254000000</v>
      </c>
      <c r="G121" s="2"/>
      <c r="H121" s="1"/>
    </row>
    <row r="122" spans="1:8" ht="21.95" customHeight="1">
      <c r="A122" s="1"/>
      <c r="B122" s="2" t="s">
        <v>349</v>
      </c>
      <c r="C122" s="1"/>
      <c r="D122" s="2"/>
      <c r="E122" s="27">
        <v>0</v>
      </c>
      <c r="F122" s="2"/>
      <c r="G122" s="2"/>
      <c r="H122" s="1"/>
    </row>
    <row r="123" spans="1:8" ht="21.95" customHeight="1">
      <c r="A123" s="1"/>
      <c r="B123" s="2" t="s">
        <v>350</v>
      </c>
      <c r="C123" s="1"/>
      <c r="D123" s="27">
        <v>-18577000000</v>
      </c>
      <c r="E123" s="27">
        <v>-1742000000</v>
      </c>
      <c r="F123" s="27">
        <v>-23405000000</v>
      </c>
      <c r="G123" s="27">
        <v>-17674000000</v>
      </c>
      <c r="H123" s="1"/>
    </row>
    <row r="124" spans="1:8" ht="21.95" customHeight="1">
      <c r="A124" s="1"/>
      <c r="B124" s="1"/>
      <c r="C124" s="1"/>
      <c r="D124" s="1"/>
      <c r="E124" s="1"/>
      <c r="F124" s="1"/>
      <c r="G124" s="1"/>
      <c r="H124" s="1"/>
    </row>
    <row r="125" spans="1:8" ht="21.95" customHeight="1">
      <c r="A125" s="1"/>
      <c r="B125" s="1"/>
      <c r="C125" s="1"/>
      <c r="D125" s="1"/>
      <c r="E125" s="1"/>
      <c r="F125" s="1"/>
      <c r="G125" s="1"/>
      <c r="H125" s="1"/>
    </row>
    <row r="126" spans="1:8" ht="21.95" customHeight="1">
      <c r="A126" s="1"/>
      <c r="B126" s="1"/>
      <c r="C126" s="1"/>
      <c r="D126" s="1"/>
      <c r="E126" s="1"/>
      <c r="F126" s="1"/>
      <c r="G126" s="1"/>
      <c r="H126" s="1"/>
    </row>
    <row r="127" spans="1:8" ht="24.95" customHeight="1">
      <c r="A127" s="1"/>
      <c r="B127" s="32" t="s">
        <v>351</v>
      </c>
      <c r="C127" s="32" t="s">
        <v>351</v>
      </c>
      <c r="D127" s="32" t="s">
        <v>351</v>
      </c>
      <c r="E127" s="32" t="s">
        <v>351</v>
      </c>
      <c r="F127" s="32" t="s">
        <v>351</v>
      </c>
      <c r="G127" s="32" t="s">
        <v>351</v>
      </c>
      <c r="H127" s="32" t="s">
        <v>351</v>
      </c>
    </row>
    <row r="128" spans="1:8" ht="21.95" customHeight="1">
      <c r="A128" s="1"/>
      <c r="B128" s="1"/>
      <c r="C128" s="1"/>
      <c r="D128" s="1"/>
      <c r="E128" s="1"/>
      <c r="F128" s="1"/>
      <c r="G128" s="1"/>
      <c r="H128" s="1"/>
    </row>
    <row r="129" spans="1:8" ht="32.1" customHeight="1">
      <c r="A129" s="1"/>
      <c r="B129" s="3" t="s">
        <v>243</v>
      </c>
      <c r="C129" s="1"/>
      <c r="D129" s="3" t="s">
        <v>155</v>
      </c>
      <c r="E129" s="3" t="s">
        <v>156</v>
      </c>
      <c r="F129" s="3" t="s">
        <v>157</v>
      </c>
      <c r="G129" s="3" t="s">
        <v>158</v>
      </c>
      <c r="H129" s="1"/>
    </row>
    <row r="130" spans="1:8" ht="21.95" customHeight="1">
      <c r="A130" s="1"/>
      <c r="B130" s="2" t="s">
        <v>352</v>
      </c>
      <c r="C130" s="1"/>
      <c r="D130" s="27">
        <v>35929000000</v>
      </c>
      <c r="E130" s="27">
        <v>24977000000</v>
      </c>
      <c r="F130" s="27">
        <v>30737000000</v>
      </c>
      <c r="G130" s="27">
        <v>29943000000</v>
      </c>
      <c r="H130" s="1"/>
    </row>
    <row r="131" spans="1:8" ht="21.95" customHeight="1">
      <c r="A131" s="1"/>
      <c r="B131" s="2" t="s">
        <v>353</v>
      </c>
      <c r="C131" s="1"/>
      <c r="D131" s="27">
        <v>-10708000000</v>
      </c>
      <c r="E131" s="27">
        <v>-10959000000</v>
      </c>
      <c r="F131" s="27">
        <v>-9447000000</v>
      </c>
      <c r="G131" s="27">
        <v>-12715000000</v>
      </c>
      <c r="H131" s="1"/>
    </row>
    <row r="132" spans="1:8" ht="21.95" customHeight="1">
      <c r="A132" s="1"/>
      <c r="B132" s="2" t="s">
        <v>354</v>
      </c>
      <c r="C132" s="1"/>
      <c r="D132" s="27">
        <v>-14841000000</v>
      </c>
      <c r="E132" s="27">
        <v>-15025000000</v>
      </c>
      <c r="F132" s="27">
        <v>-15234000000</v>
      </c>
      <c r="G132" s="27">
        <v>-15421000000</v>
      </c>
      <c r="H132" s="1"/>
    </row>
    <row r="133" spans="1:8" ht="21.95" customHeight="1">
      <c r="A133" s="1"/>
      <c r="B133" s="2" t="s">
        <v>355</v>
      </c>
      <c r="C133" s="1"/>
      <c r="D133" s="27">
        <v>-110749000000</v>
      </c>
      <c r="E133" s="27">
        <v>-108488000000</v>
      </c>
      <c r="F133" s="27">
        <v>-121983000000</v>
      </c>
      <c r="G133" s="27">
        <v>-120686000000</v>
      </c>
      <c r="H133" s="1"/>
    </row>
    <row r="134" spans="1:8" ht="21.95" customHeight="1">
      <c r="A134" s="1"/>
      <c r="B134" s="2" t="s">
        <v>356</v>
      </c>
      <c r="C134" s="1"/>
      <c r="D134" s="27">
        <v>-22354000000</v>
      </c>
      <c r="E134" s="27">
        <v>3705000000</v>
      </c>
      <c r="F134" s="27">
        <v>2935000000</v>
      </c>
      <c r="G134" s="27">
        <v>15195000000</v>
      </c>
      <c r="H134" s="1"/>
    </row>
    <row r="135" spans="1:8" ht="21.95" customHeight="1">
      <c r="A135" s="1"/>
      <c r="B135" s="2" t="s">
        <v>357</v>
      </c>
      <c r="C135" s="1"/>
      <c r="D135" s="27">
        <v>122151000000</v>
      </c>
      <c r="E135" s="27">
        <v>110543000000</v>
      </c>
      <c r="F135" s="27">
        <v>118254000000</v>
      </c>
      <c r="G135" s="27">
        <v>111482000000</v>
      </c>
      <c r="H135" s="1"/>
    </row>
    <row r="136" spans="1:8" ht="21.95" customHeight="1">
      <c r="A136" s="1"/>
      <c r="B136" s="2" t="s">
        <v>358</v>
      </c>
      <c r="C136" s="1"/>
      <c r="D136" s="27">
        <v>9448000000</v>
      </c>
      <c r="E136" s="27">
        <v>-1889000000</v>
      </c>
      <c r="F136" s="27">
        <v>6020000000</v>
      </c>
      <c r="G136" s="27">
        <v>902000000</v>
      </c>
      <c r="H136" s="1"/>
    </row>
    <row r="137" spans="1:8" ht="21.95" customHeight="1">
      <c r="A137" s="1"/>
      <c r="B137" s="2" t="s">
        <v>359</v>
      </c>
      <c r="C137" s="1"/>
      <c r="D137" s="27">
        <v>1484000000</v>
      </c>
      <c r="E137" s="27">
        <v>-1618000000</v>
      </c>
      <c r="F137" s="27">
        <v>-1046000000</v>
      </c>
      <c r="G137" s="27">
        <v>1400000000</v>
      </c>
      <c r="H137" s="1"/>
    </row>
    <row r="138" spans="1:8" ht="21.95" customHeight="1">
      <c r="A138" s="1"/>
      <c r="B138" s="2" t="s">
        <v>360</v>
      </c>
      <c r="C138" s="1"/>
      <c r="D138" s="27">
        <v>-6499000000</v>
      </c>
      <c r="E138" s="27">
        <v>-5684000000</v>
      </c>
      <c r="F138" s="27">
        <v>-11731000000</v>
      </c>
      <c r="G138" s="27">
        <v>-9197000000</v>
      </c>
      <c r="H138" s="1"/>
    </row>
    <row r="139" spans="1:8" ht="21.95" customHeight="1">
      <c r="A139" s="1"/>
      <c r="B139" s="2" t="s">
        <v>361</v>
      </c>
      <c r="C139" s="1"/>
      <c r="D139" s="27">
        <v>6110000000</v>
      </c>
      <c r="E139" s="27">
        <v>3031000000</v>
      </c>
      <c r="F139" s="27">
        <v>15552000000</v>
      </c>
      <c r="G139" s="27">
        <v>-11076000000</v>
      </c>
      <c r="H139" s="1"/>
    </row>
    <row r="140" spans="1:8" ht="21.95" customHeight="1">
      <c r="A140" s="1"/>
      <c r="B140" s="2" t="s">
        <v>362</v>
      </c>
      <c r="C140" s="1"/>
      <c r="D140" s="27">
        <v>478000000</v>
      </c>
      <c r="E140" s="2"/>
      <c r="F140" s="2"/>
      <c r="G140" s="2"/>
      <c r="H140" s="1"/>
    </row>
    <row r="141" spans="1:8" ht="21.95" customHeight="1">
      <c r="A141" s="1"/>
      <c r="B141" s="2" t="s">
        <v>363</v>
      </c>
      <c r="C141" s="1"/>
      <c r="D141" s="27">
        <v>9448000000</v>
      </c>
      <c r="E141" s="27">
        <v>-1889000000</v>
      </c>
      <c r="F141" s="27">
        <v>6020000000</v>
      </c>
      <c r="G141" s="27">
        <v>902000000</v>
      </c>
      <c r="H141" s="1"/>
    </row>
    <row r="142" spans="1:8" ht="21.95" customHeight="1">
      <c r="A142" s="1"/>
      <c r="B142" s="2" t="s">
        <v>364</v>
      </c>
      <c r="C142" s="1"/>
      <c r="D142" s="27">
        <v>9448000000</v>
      </c>
      <c r="E142" s="27">
        <v>-1889000000</v>
      </c>
      <c r="F142" s="27">
        <v>6020000000</v>
      </c>
      <c r="G142" s="27">
        <v>902000000</v>
      </c>
      <c r="H142" s="1"/>
    </row>
    <row r="143" spans="1:8" ht="21.95" customHeight="1">
      <c r="A143" s="1"/>
      <c r="B143" s="2" t="s">
        <v>365</v>
      </c>
      <c r="C143" s="1"/>
      <c r="D143" s="27">
        <v>-9343000000</v>
      </c>
      <c r="E143" s="27">
        <v>-417000000</v>
      </c>
      <c r="F143" s="27">
        <v>-5144000000</v>
      </c>
      <c r="G143" s="27">
        <v>-7029000000</v>
      </c>
      <c r="H143" s="1"/>
    </row>
    <row r="144" spans="1:8" ht="21.95" customHeight="1">
      <c r="A144" s="1"/>
      <c r="B144" s="2" t="s">
        <v>366</v>
      </c>
      <c r="C144" s="1"/>
      <c r="D144" s="27">
        <v>1200000000</v>
      </c>
      <c r="E144" s="27">
        <v>-6577000000</v>
      </c>
      <c r="F144" s="27">
        <v>3651000000</v>
      </c>
      <c r="G144" s="27">
        <v>-25000000000</v>
      </c>
      <c r="H144" s="1"/>
    </row>
    <row r="145" spans="1:8" ht="21.95" customHeight="1">
      <c r="A145" s="1"/>
      <c r="B145" s="2" t="s">
        <v>367</v>
      </c>
      <c r="C145" s="1"/>
      <c r="D145" s="27">
        <v>-1823000000</v>
      </c>
      <c r="E145" s="27">
        <v>-1688000000</v>
      </c>
      <c r="F145" s="27">
        <v>-3788000000</v>
      </c>
      <c r="G145" s="27">
        <v>-6682000000</v>
      </c>
      <c r="H145" s="1"/>
    </row>
    <row r="146" spans="1:8" ht="21.95" customHeight="1">
      <c r="A146" s="1"/>
      <c r="B146" s="2" t="s">
        <v>368</v>
      </c>
      <c r="C146" s="1"/>
      <c r="D146" s="27">
        <v>-10952000000</v>
      </c>
      <c r="E146" s="27">
        <v>5760000000</v>
      </c>
      <c r="F146" s="27">
        <v>-794000000</v>
      </c>
      <c r="G146" s="27">
        <v>5991000000</v>
      </c>
      <c r="H146" s="1"/>
    </row>
    <row r="147" spans="1:8" ht="21.95" customHeight="1">
      <c r="A147" s="1"/>
      <c r="B147" s="2" t="s">
        <v>369</v>
      </c>
      <c r="C147" s="1"/>
      <c r="D147" s="27">
        <v>-14841000000</v>
      </c>
      <c r="E147" s="27">
        <v>-15025000000</v>
      </c>
      <c r="F147" s="27">
        <v>-15234000000</v>
      </c>
      <c r="G147" s="27">
        <v>-15421000000</v>
      </c>
      <c r="H147" s="1"/>
    </row>
    <row r="148" spans="1:8" ht="21.95" customHeight="1">
      <c r="A148" s="1"/>
      <c r="B148" s="2" t="s">
        <v>370</v>
      </c>
      <c r="C148" s="1"/>
      <c r="D148" s="27">
        <v>-89402000000</v>
      </c>
      <c r="E148" s="27">
        <v>-77550000000</v>
      </c>
      <c r="F148" s="27">
        <v>-94949000000</v>
      </c>
      <c r="G148" s="27">
        <v>-90711000000</v>
      </c>
      <c r="H148" s="1"/>
    </row>
    <row r="149" spans="1:8" ht="21.95" customHeight="1">
      <c r="A149" s="1"/>
      <c r="B149" s="2" t="s">
        <v>371</v>
      </c>
      <c r="C149" s="1"/>
      <c r="D149" s="27">
        <v>895000000</v>
      </c>
      <c r="E149" s="2"/>
      <c r="F149" s="2"/>
      <c r="G149" s="2"/>
      <c r="H149" s="1"/>
    </row>
    <row r="150" spans="1:8" ht="21.95" customHeight="1">
      <c r="A150" s="1"/>
      <c r="B150" s="2" t="s">
        <v>372</v>
      </c>
      <c r="C150" s="1"/>
      <c r="D150" s="27">
        <v>895000000</v>
      </c>
      <c r="E150" s="2"/>
      <c r="F150" s="2"/>
      <c r="G150" s="2"/>
      <c r="H150" s="1"/>
    </row>
    <row r="151" spans="1:8" ht="21.95" customHeight="1">
      <c r="A151" s="1"/>
      <c r="B151" s="2" t="s">
        <v>373</v>
      </c>
      <c r="C151" s="1"/>
      <c r="D151" s="27">
        <v>11104000000</v>
      </c>
      <c r="E151" s="27">
        <v>11519000000</v>
      </c>
      <c r="F151" s="27">
        <v>11445000000</v>
      </c>
      <c r="G151" s="27">
        <v>11698000000</v>
      </c>
      <c r="H151" s="1"/>
    </row>
    <row r="152" spans="1:8" ht="21.95" customHeight="1">
      <c r="A152" s="1"/>
      <c r="B152" s="2" t="s">
        <v>374</v>
      </c>
      <c r="C152" s="1"/>
      <c r="D152" s="27">
        <v>11104000000</v>
      </c>
      <c r="E152" s="27">
        <v>11519000000</v>
      </c>
      <c r="F152" s="27">
        <v>11445000000</v>
      </c>
      <c r="G152" s="27">
        <v>11698000000</v>
      </c>
      <c r="H152" s="1"/>
    </row>
    <row r="153" spans="1:8" ht="21.95" customHeight="1">
      <c r="A153" s="1"/>
      <c r="B153" s="2" t="s">
        <v>375</v>
      </c>
      <c r="C153" s="1"/>
      <c r="D153" s="27">
        <v>24977000000</v>
      </c>
      <c r="E153" s="27">
        <v>30737000000</v>
      </c>
      <c r="F153" s="27">
        <v>29943000000</v>
      </c>
      <c r="G153" s="27">
        <v>35934000000</v>
      </c>
      <c r="H153" s="1"/>
    </row>
    <row r="154" spans="1:8" ht="21.95" customHeight="1">
      <c r="A154" s="1"/>
      <c r="B154" s="2" t="s">
        <v>376</v>
      </c>
      <c r="C154" s="1"/>
      <c r="D154" s="27">
        <v>-110749000000</v>
      </c>
      <c r="E154" s="27">
        <v>-108488000000</v>
      </c>
      <c r="F154" s="27">
        <v>-121983000000</v>
      </c>
      <c r="G154" s="27">
        <v>-120686000000</v>
      </c>
      <c r="H154" s="1"/>
    </row>
    <row r="155" spans="1:8" ht="21.95" customHeight="1">
      <c r="A155" s="1"/>
      <c r="B155" s="2" t="s">
        <v>377</v>
      </c>
      <c r="C155" s="1"/>
      <c r="D155" s="27">
        <v>111443000000</v>
      </c>
      <c r="E155" s="27">
        <v>99584000000</v>
      </c>
      <c r="F155" s="27">
        <v>108807000000</v>
      </c>
      <c r="G155" s="27">
        <v>98767000000</v>
      </c>
      <c r="H155" s="1"/>
    </row>
    <row r="156" spans="1:8" ht="21.95" customHeight="1">
      <c r="A156" s="1"/>
      <c r="B156" s="2" t="s">
        <v>378</v>
      </c>
      <c r="C156" s="1"/>
      <c r="D156" s="27">
        <v>19573000000</v>
      </c>
      <c r="E156" s="27">
        <v>18679000000</v>
      </c>
      <c r="F156" s="27">
        <v>26102000000</v>
      </c>
      <c r="G156" s="27">
        <v>43369000000</v>
      </c>
      <c r="H156" s="1"/>
    </row>
    <row r="157" spans="1:8" ht="21.95" customHeight="1">
      <c r="A157" s="1"/>
      <c r="B157" s="2" t="s">
        <v>379</v>
      </c>
      <c r="C157" s="1"/>
      <c r="D157" s="27">
        <v>2865000000</v>
      </c>
      <c r="E157" s="27">
        <v>3803000000</v>
      </c>
      <c r="F157" s="2"/>
      <c r="G157" s="2"/>
      <c r="H157" s="1"/>
    </row>
    <row r="158" spans="1:8" ht="21.95" customHeight="1">
      <c r="A158" s="1"/>
      <c r="B158" s="2" t="s">
        <v>380</v>
      </c>
      <c r="C158" s="1"/>
      <c r="D158" s="27">
        <v>-22354000000</v>
      </c>
      <c r="E158" s="27">
        <v>3705000000</v>
      </c>
      <c r="F158" s="27">
        <v>2935000000</v>
      </c>
      <c r="G158" s="27">
        <v>15195000000</v>
      </c>
      <c r="H158" s="1"/>
    </row>
    <row r="159" spans="1:8" ht="21.95" customHeight="1">
      <c r="A159" s="1"/>
      <c r="B159" s="2" t="s">
        <v>381</v>
      </c>
      <c r="C159" s="1"/>
      <c r="D159" s="27">
        <v>5465000000</v>
      </c>
      <c r="E159" s="27">
        <v>5228000000</v>
      </c>
      <c r="F159" s="27">
        <v>0</v>
      </c>
      <c r="G159" s="27">
        <v>4481000000</v>
      </c>
      <c r="H159" s="1"/>
    </row>
    <row r="160" spans="1:8" ht="21.95" customHeight="1">
      <c r="A160" s="1"/>
      <c r="B160" s="2" t="s">
        <v>382</v>
      </c>
      <c r="C160" s="1"/>
      <c r="D160" s="27">
        <v>5465000000</v>
      </c>
      <c r="E160" s="27">
        <v>5228000000</v>
      </c>
      <c r="F160" s="27">
        <v>0</v>
      </c>
      <c r="G160" s="27">
        <v>4481000000</v>
      </c>
      <c r="H160" s="1"/>
    </row>
    <row r="161" spans="1:8" ht="21.95" customHeight="1">
      <c r="A161" s="1"/>
      <c r="B161" s="2" t="s">
        <v>383</v>
      </c>
      <c r="C161" s="1"/>
      <c r="D161" s="27">
        <v>-9543000000</v>
      </c>
      <c r="E161" s="27">
        <v>-11151000000</v>
      </c>
      <c r="F161" s="27">
        <v>-9958000000</v>
      </c>
      <c r="G161" s="27">
        <v>-10932000000</v>
      </c>
      <c r="H161" s="1"/>
    </row>
    <row r="162" spans="1:8" ht="21.95" customHeight="1">
      <c r="A162" s="1"/>
      <c r="B162" s="2" t="s">
        <v>384</v>
      </c>
      <c r="C162" s="1"/>
      <c r="D162" s="27">
        <v>-306000000</v>
      </c>
      <c r="E162" s="2"/>
      <c r="F162" s="2"/>
      <c r="G162" s="2"/>
      <c r="H162" s="1"/>
    </row>
    <row r="163" spans="1:8" ht="21.95" customHeight="1">
      <c r="A163" s="1"/>
      <c r="B163" s="2" t="s">
        <v>385</v>
      </c>
      <c r="C163" s="1"/>
      <c r="D163" s="27">
        <v>-89402000000</v>
      </c>
      <c r="E163" s="27">
        <v>-77550000000</v>
      </c>
      <c r="F163" s="27">
        <v>-94949000000</v>
      </c>
      <c r="G163" s="27">
        <v>-90711000000</v>
      </c>
      <c r="H163" s="1"/>
    </row>
    <row r="164" spans="1:8" ht="21.95" customHeight="1">
      <c r="A164" s="1"/>
      <c r="B164" s="2" t="s">
        <v>386</v>
      </c>
      <c r="C164" s="1"/>
      <c r="D164" s="27">
        <v>99803000000</v>
      </c>
      <c r="E164" s="27">
        <v>96995000000</v>
      </c>
      <c r="F164" s="27">
        <v>93736000000</v>
      </c>
      <c r="G164" s="27">
        <v>112010000000</v>
      </c>
      <c r="H164" s="1"/>
    </row>
    <row r="165" spans="1:8" ht="21.95" customHeight="1">
      <c r="A165" s="1"/>
      <c r="B165" s="2" t="s">
        <v>387</v>
      </c>
      <c r="C165" s="1"/>
      <c r="D165" s="27">
        <v>-9560000000</v>
      </c>
      <c r="E165" s="27">
        <v>16001000000</v>
      </c>
      <c r="F165" s="27">
        <v>13690000000</v>
      </c>
      <c r="G165" s="27">
        <v>29390000000</v>
      </c>
      <c r="H165" s="1"/>
    </row>
    <row r="166" spans="1:8" ht="21.95" customHeight="1">
      <c r="A166" s="1"/>
      <c r="B166" s="2" t="s">
        <v>388</v>
      </c>
      <c r="C166" s="1"/>
      <c r="D166" s="27">
        <v>-123000000</v>
      </c>
      <c r="E166" s="27">
        <v>-9901000000</v>
      </c>
      <c r="F166" s="27">
        <v>-5998000000</v>
      </c>
      <c r="G166" s="27">
        <v>-8483000000</v>
      </c>
      <c r="H166" s="1"/>
    </row>
    <row r="167" spans="1:8" ht="21.95" customHeight="1">
      <c r="A167" s="1"/>
      <c r="B167" s="2" t="s">
        <v>389</v>
      </c>
      <c r="C167" s="1"/>
      <c r="D167" s="27">
        <v>-4078000000</v>
      </c>
      <c r="E167" s="27">
        <v>-5923000000</v>
      </c>
      <c r="F167" s="27">
        <v>-9958000000</v>
      </c>
      <c r="G167" s="27">
        <v>-6451000000</v>
      </c>
      <c r="H167" s="1"/>
    </row>
    <row r="168" spans="1:8" ht="21.95" customHeight="1">
      <c r="A168" s="1"/>
      <c r="B168" s="2" t="s">
        <v>390</v>
      </c>
      <c r="C168" s="1"/>
      <c r="D168" s="27">
        <v>-6383000000</v>
      </c>
      <c r="E168" s="27">
        <v>-6012000000</v>
      </c>
      <c r="F168" s="27">
        <v>-5802000000</v>
      </c>
      <c r="G168" s="27">
        <v>-6071000000</v>
      </c>
      <c r="H168" s="1"/>
    </row>
    <row r="169" spans="1:8" ht="21.95" customHeight="1">
      <c r="A169" s="1"/>
      <c r="B169" s="2" t="s">
        <v>391</v>
      </c>
      <c r="C169" s="1"/>
      <c r="D169" s="27">
        <v>-2086000000</v>
      </c>
      <c r="E169" s="27">
        <v>-1337000000</v>
      </c>
      <c r="F169" s="27">
        <v>-1308000000</v>
      </c>
      <c r="G169" s="27">
        <v>-1480000000</v>
      </c>
      <c r="H169" s="1"/>
    </row>
    <row r="170" spans="1:8" ht="21.95" customHeight="1">
      <c r="A170" s="1"/>
      <c r="B170" s="2" t="s">
        <v>392</v>
      </c>
      <c r="C170" s="1"/>
      <c r="D170" s="27">
        <v>-10708000000</v>
      </c>
      <c r="E170" s="27">
        <v>-10959000000</v>
      </c>
      <c r="F170" s="27">
        <v>-9447000000</v>
      </c>
      <c r="G170" s="27">
        <v>-12715000000</v>
      </c>
      <c r="H170" s="1"/>
    </row>
    <row r="171" spans="1:8" ht="21.95" customHeight="1">
      <c r="A171" s="1"/>
      <c r="B171" s="2" t="s">
        <v>393</v>
      </c>
      <c r="C171" s="1"/>
      <c r="D171" s="27">
        <v>3955000000</v>
      </c>
      <c r="E171" s="27">
        <v>-3978000000</v>
      </c>
      <c r="F171" s="27">
        <v>3960000000</v>
      </c>
      <c r="G171" s="27">
        <v>-2032000000</v>
      </c>
      <c r="H171" s="1"/>
    </row>
    <row r="172" spans="1:8" ht="21.95" customHeight="1">
      <c r="A172" s="1"/>
      <c r="B172" s="2" t="s">
        <v>394</v>
      </c>
      <c r="C172" s="1"/>
      <c r="D172" s="27">
        <v>122151000000</v>
      </c>
      <c r="E172" s="27">
        <v>110543000000</v>
      </c>
      <c r="F172" s="27">
        <v>118254000000</v>
      </c>
      <c r="G172" s="27">
        <v>111482000000</v>
      </c>
      <c r="H172" s="1"/>
    </row>
    <row r="173" spans="1:8" ht="21.95" customHeight="1">
      <c r="A173" s="1"/>
      <c r="B173" s="2" t="s">
        <v>395</v>
      </c>
      <c r="C173" s="1"/>
      <c r="D173" s="27">
        <v>1006000000</v>
      </c>
      <c r="E173" s="27">
        <v>-2227000000</v>
      </c>
      <c r="F173" s="27">
        <v>-2266000000</v>
      </c>
      <c r="G173" s="27">
        <v>-89000000</v>
      </c>
      <c r="H173" s="1"/>
    </row>
    <row r="174" spans="1:8" ht="21.95" customHeight="1">
      <c r="A174" s="1"/>
      <c r="B174" s="2" t="s">
        <v>396</v>
      </c>
      <c r="C174" s="1"/>
      <c r="D174" s="27">
        <v>-306000000</v>
      </c>
      <c r="E174" s="2"/>
      <c r="F174" s="2"/>
      <c r="G174" s="2"/>
      <c r="H174" s="1"/>
    </row>
    <row r="175" spans="1:8" ht="21.95" customHeight="1">
      <c r="A175" s="1"/>
      <c r="B175" s="2" t="s">
        <v>397</v>
      </c>
      <c r="C175" s="1"/>
      <c r="D175" s="27">
        <v>-76923000000</v>
      </c>
      <c r="E175" s="27">
        <v>-29513000000</v>
      </c>
      <c r="F175" s="27">
        <v>-48656000000</v>
      </c>
      <c r="G175" s="27">
        <v>-24407000000</v>
      </c>
      <c r="H175" s="1"/>
    </row>
    <row r="176" spans="1:8" ht="21.95" customHeight="1">
      <c r="A176" s="1"/>
      <c r="B176" s="2" t="s">
        <v>398</v>
      </c>
      <c r="C176" s="1"/>
      <c r="D176" s="27">
        <v>-10708000000</v>
      </c>
      <c r="E176" s="27">
        <v>-10959000000</v>
      </c>
      <c r="F176" s="27">
        <v>-9447000000</v>
      </c>
      <c r="G176" s="27">
        <v>-12715000000</v>
      </c>
      <c r="H176" s="1"/>
    </row>
    <row r="177" spans="1:8" ht="21.95" customHeight="1">
      <c r="A177" s="1"/>
      <c r="B177" s="2" t="s">
        <v>399</v>
      </c>
      <c r="C177" s="1"/>
      <c r="D177" s="27">
        <v>-9543000000</v>
      </c>
      <c r="E177" s="27">
        <v>-11151000000</v>
      </c>
      <c r="F177" s="27">
        <v>-9958000000</v>
      </c>
      <c r="G177" s="27">
        <v>-10932000000</v>
      </c>
      <c r="H177" s="1"/>
    </row>
    <row r="178" spans="1:8" ht="21.95" customHeight="1">
      <c r="A178" s="1"/>
      <c r="B178" s="2" t="s">
        <v>400</v>
      </c>
      <c r="C178" s="1"/>
      <c r="D178" s="27">
        <v>-89402000000</v>
      </c>
      <c r="E178" s="27">
        <v>-77550000000</v>
      </c>
      <c r="F178" s="27">
        <v>-94949000000</v>
      </c>
      <c r="G178" s="27">
        <v>-90711000000</v>
      </c>
      <c r="H178" s="1"/>
    </row>
    <row r="179" spans="1:8" ht="21.95" customHeight="1">
      <c r="A179" s="1"/>
      <c r="B179" s="2" t="s">
        <v>401</v>
      </c>
      <c r="C179" s="1"/>
      <c r="D179" s="27">
        <v>67363000000</v>
      </c>
      <c r="E179" s="27">
        <v>45514000000</v>
      </c>
      <c r="F179" s="27">
        <v>62346000000</v>
      </c>
      <c r="G179" s="27">
        <v>53797000000</v>
      </c>
      <c r="H179" s="1"/>
    </row>
    <row r="180" spans="1:8" ht="21.95" customHeight="1">
      <c r="A180" s="1"/>
      <c r="B180" s="2" t="s">
        <v>402</v>
      </c>
      <c r="C180" s="1"/>
      <c r="D180" s="27">
        <v>9038000000</v>
      </c>
      <c r="E180" s="27">
        <v>10833000000</v>
      </c>
      <c r="F180" s="27">
        <v>11688000000</v>
      </c>
      <c r="G180" s="27">
        <v>12863000000</v>
      </c>
      <c r="H180" s="1"/>
    </row>
    <row r="181" spans="1:8" ht="21.95" customHeight="1">
      <c r="A181" s="1"/>
      <c r="B181" s="1"/>
      <c r="C181" s="1"/>
      <c r="D181" s="1"/>
      <c r="E181" s="1"/>
      <c r="F181" s="1"/>
      <c r="G181" s="1"/>
      <c r="H181" s="1"/>
    </row>
  </sheetData>
  <mergeCells count="6">
    <mergeCell ref="B2:H2"/>
    <mergeCell ref="B3:H3"/>
    <mergeCell ref="B7:H7"/>
    <mergeCell ref="B52:H52"/>
    <mergeCell ref="B127:H127"/>
    <mergeCell ref="B4:H5"/>
  </mergeCells>
  <pageMargins left="0.7" right="0.7" top="0.75" bottom="0.75" header="0.3" footer="0.3"/>
  <pageSetup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Assumptions</vt:lpstr>
      <vt:lpstr>Statements</vt:lpstr>
      <vt:lpstr>DCF</vt:lpstr>
      <vt:lpstr>History</vt:lpstr>
      <vt:lpstr>Raw statements</vt:lpstr>
      <vt:lpstr>Assumptions!Print_Titles</vt:lpstr>
      <vt:lpstr>DCF!Print_Titles</vt:lpstr>
      <vt:lpstr>History!Print_Titles</vt:lpstr>
      <vt:lpstr>'Raw statements'!Print_Titles</vt:lpstr>
      <vt:lpstr>Statements!Print_Titles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 Neema</cp:lastModifiedBy>
  <dcterms:modified xsi:type="dcterms:W3CDTF">2026-10-26T14:39:28Z</dcterms:modified>
</cp:coreProperties>
</file>